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a50f80cfe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 Lawyers" sheetId="1" r:id="Rea584173447b49fd"/>
    <x:sheet xmlns:r="http://schemas.openxmlformats.org/officeDocument/2006/relationships" name="Coverage" sheetId="2" r:id="R97bb98d2f9384d05"/>
    <x:sheet xmlns:r="http://schemas.openxmlformats.org/officeDocument/2006/relationships" name="Reference" sheetId="3" r:id="Rb547bf78d8dc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8824d4e0842a2" /><Relationship Type="http://schemas.openxmlformats.org/officeDocument/2006/relationships/theme" Target="/xl/theme/theme1.xml" Id="R21bba119c9eb4656" /><Relationship Type="http://schemas.microsoft.com/office/2022/11/relationships/FeaturePropertyBag" Target="/xl/featurePropertyBag/featurePropertyBag.xml" Id="R8bad962e863a4d0a" /><Relationship Type="http://schemas.openxmlformats.org/officeDocument/2006/relationships/sharedStrings" Target="/xl/sharedStrings.xml" Id="R24334b25f31145be" /><Relationship Type="http://schemas.openxmlformats.org/officeDocument/2006/relationships/worksheet" Target="/xl/worksheets/sheet1.xml" Id="Rea584173447b49fd" /><Relationship Type="http://schemas.openxmlformats.org/officeDocument/2006/relationships/worksheet" Target="/xl/worksheets/sheet2.xml" Id="R97bb98d2f9384d05" /><Relationship Type="http://schemas.openxmlformats.org/officeDocument/2006/relationships/worksheet" Target="/xl/worksheets/sheet3.xml" Id="Rb547bf78d8dc4e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edLawyersTable" displayName="SeedLawyersTable" ref="A1:N109" headerRowCount="1" totalsRowCount="0" totalsRowShown="0">
  <x:tableColumns count="14">
    <x:tableColumn id="1" name="Seed ID"/>
    <x:tableColumn id="2" name="State / UT"/>
    <x:tableColumn id="3" name="Type"/>
    <x:tableColumn id="4" name="Lawyer Name"/>
    <x:tableColumn id="5" name="City / Coverage"/>
    <x:tableColumn id="6" name="Phone / Public Contact"/>
    <x:tableColumn id="7" name="Primary Specialization"/>
    <x:tableColumn id="8" name="Specialization Tags"/>
    <x:tableColumn id="9" name="Source Type"/>
    <x:tableColumn id="10" name="Source URL"/>
    <x:tableColumn id="11" name="Source Ref"/>
    <x:tableColumn id="12" name="Verification Status"/>
    <x:tableColumn id="13" name="Notes"/>
    <x:tableColumn id="14" name="Contact Avail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G37" headerRowCount="1" totalsRowCount="0" totalsRowShown="0">
  <x:tableColumns count="7">
    <x:tableColumn id="1" name="State / UT"/>
    <x:tableColumn id="2" name="Type"/>
    <x:tableColumn id="3" name="Target Rows"/>
    <x:tableColumn id="4" name="Rows Found"/>
    <x:tableColumn id="5" name="Public Contact Rows"/>
    <x:tableColumn id="6" name="Explicit / Mapped Specialization Rows"/>
    <x:tableColumn id="7" name="Needs Enrich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9c7cc4432242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431caf3ccb46a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31" hidden="0" customWidth="1"/>
    <x:col min="5" max="5" width="28" hidden="0" customWidth="1"/>
    <x:col min="6" max="6" width="23" hidden="0" customWidth="1"/>
    <x:col min="7" max="7" width="24" hidden="0" customWidth="1"/>
    <x:col min="8" max="8" width="58" hidden="0" customWidth="1"/>
    <x:col min="9" max="9" width="34" hidden="0" customWidth="1"/>
    <x:col min="10" max="10" width="48" hidden="0" customWidth="1"/>
    <x:col min="11" max="11" width="22" hidden="0" customWidth="1"/>
    <x:col min="12" max="12" width="26" hidden="0" customWidth="1"/>
    <x:col min="13" max="13" width="64" hidden="0" customWidth="1"/>
    <x:col min="14" max="14" width="18" hidden="0" customWidth="1"/>
    <x:col min="15" max="15" width="30" hidden="0" customWidth="1"/>
    <x:col min="16" max="16" width="48" hidden="0" customWidth="1"/>
  </x:cols>
  <x:sheetData>
    <x:row r="1" ht="30" customHeight="1">
      <x:c r="A1" s="8" t="str">
        <x:v>Seed ID</x:v>
      </x:c>
      <x:c r="B1" s="8" t="str">
        <x:v>State / UT</x:v>
      </x:c>
      <x:c r="C1" s="8" t="str">
        <x:v>Type</x:v>
      </x:c>
      <x:c r="D1" s="8" t="str">
        <x:v>Lawyer Name</x:v>
      </x:c>
      <x:c r="E1" s="8" t="str">
        <x:v>City / Coverage</x:v>
      </x:c>
      <x:c r="F1" s="8" t="str">
        <x:v>Phone / Public Contact</x:v>
      </x:c>
      <x:c r="G1" s="8" t="str">
        <x:v>Primary Specialization</x:v>
      </x:c>
      <x:c r="H1" s="8" t="str">
        <x:v>Specialization Tags</x:v>
      </x:c>
      <x:c r="I1" s="8" t="str">
        <x:v>Source Type</x:v>
      </x:c>
      <x:c r="J1" s="8" t="str">
        <x:v>Source URL</x:v>
      </x:c>
      <x:c r="K1" s="8" t="str">
        <x:v>Source Ref</x:v>
      </x:c>
      <x:c r="L1" s="8" t="str">
        <x:v>Verification Status</x:v>
      </x:c>
      <x:c r="M1" s="8" t="str">
        <x:v>Notes</x:v>
      </x:c>
      <x:c r="N1" s="8" t="str">
        <x:v>Contact Available</x:v>
      </x:c>
      <x:c r="O1" s="8" t="str">
        <x:v>Specialization Basis</x:v>
      </x:c>
      <x:c r="P1" s="8" t="str">
        <x:v>State Coverage Note</x:v>
      </x:c>
    </x:row>
    <x:row r="2" ht="42" customHeight="1">
      <x:c r="A2" s="16" t="str">
        <x:v>SL001</x:v>
      </x:c>
      <x:c r="B2" s="16" t="str">
        <x:v>Andhra Pradesh</x:v>
      </x:c>
      <x:c r="C2" s="16" t="str">
        <x:v>State</x:v>
      </x:c>
      <x:c r="D2" s="16" t="str">
        <x:v>Innamuri Balasubramanyam</x:v>
      </x:c>
      <x:c r="E2" s="16" t="str">
        <x:v>Rajamahendravaram</x:v>
      </x:c>
      <x:c r="F2" s="22" t="str"/>
      <x:c r="G2" s="16" t="str">
        <x:v>General Practice</x:v>
      </x:c>
      <x:c r="H2" s="16" t="str">
        <x:v>General Practice, Criminal Law, Divorce &amp; Family Law, Corporate Law, Property Rights, Consumer Protection</x:v>
      </x:c>
      <x:c r="I2" s="16" t="str">
        <x:v>LawRato public advocate profile</x:v>
      </x:c>
      <x:c r="J2" s="22" t="str">
        <x:v>https://lawrato.com/</x:v>
      </x:c>
      <x:c r="K2" s="16" t="str">
        <x:v>turn264673search1</x:v>
      </x:c>
      <x:c r="L2" s="16" t="str">
        <x:v>Profile-reported practice / enrolment</x:v>
      </x:c>
      <x:c r="M2" s="16" t="str">
        <x:v>Profile lists Bar Council of Andhra Pradesh enrolment and multiple practice areas; no phone retained from retrieved result.</x:v>
      </x:c>
      <x:c r="N2" s="17" t="b">
        <x:v>0</x:v>
      </x:c>
      <x:c r="O2" s="14" t="str">
        <x:v>Explicit / mapped specialization</x:v>
      </x:c>
      <x:c r="P2" s="14" t="str">
        <x:v>Local/state directory coverage</x:v>
      </x:c>
    </x:row>
    <x:row r="3" ht="42" customHeight="1">
      <x:c r="A3" s="16" t="str">
        <x:v>SL002</x:v>
      </x:c>
      <x:c r="B3" s="16" t="str">
        <x:v>Andhra Pradesh</x:v>
      </x:c>
      <x:c r="C3" s="16" t="str">
        <x:v>State</x:v>
      </x:c>
      <x:c r="D3" s="16" t="str">
        <x:v>S Madhusudhana</x:v>
      </x:c>
      <x:c r="E3" s="16" t="str">
        <x:v>Anantapur / Rayadurg</x:v>
      </x:c>
      <x:c r="F3" s="22" t="str"/>
      <x:c r="G3" s="16" t="str">
        <x:v>General Practice</x:v>
      </x:c>
      <x:c r="H3" s="16" t="str">
        <x:v>General Practice, Criminal Law, Divorce &amp; Family Law, Property Rights, Corporate Law, Consumer Protection</x:v>
      </x:c>
      <x:c r="I3" s="16" t="str">
        <x:v>LawRato public advocate profile</x:v>
      </x:c>
      <x:c r="J3" s="22" t="str">
        <x:v>https://lawrato.com/</x:v>
      </x:c>
      <x:c r="K3" s="16" t="str">
        <x:v>turn264673search4</x:v>
      </x:c>
      <x:c r="L3" s="16" t="str">
        <x:v>Profile-reported practice / enrolment</x:v>
      </x:c>
      <x:c r="M3" s="16" t="str">
        <x:v>Profile lists Bar Council of Andhra Pradesh enrolment and multiple practice areas; no phone retained from retrieved result.</x:v>
      </x:c>
      <x:c r="N3" s="17" t="b">
        <x:v>0</x:v>
      </x:c>
      <x:c r="O3" s="14" t="str">
        <x:v>Explicit / mapped specialization</x:v>
      </x:c>
      <x:c r="P3" s="14" t="str">
        <x:v>Local/state directory coverage</x:v>
      </x:c>
    </x:row>
    <x:row r="4" ht="42" customHeight="1">
      <x:c r="A4" s="16" t="str">
        <x:v>SL003</x:v>
      </x:c>
      <x:c r="B4" s="16" t="str">
        <x:v>Andhra Pradesh</x:v>
      </x:c>
      <x:c r="C4" s="16" t="str">
        <x:v>State</x:v>
      </x:c>
      <x:c r="D4" s="16" t="str">
        <x:v>K Amrith Raj</x:v>
      </x:c>
      <x:c r="E4" s="16" t="str">
        <x:v>Andhra Pradesh</x:v>
      </x:c>
      <x:c r="F4" s="22" t="str"/>
      <x:c r="G4" s="16" t="str">
        <x:v>Criminal Law</x:v>
      </x:c>
      <x:c r="H4" s="16" t="str">
        <x:v>Criminal Law, Cyber Law, Divorce &amp; Family Law, Corporate Law, Intellectual Property, Property Rights</x:v>
      </x:c>
      <x:c r="I4" s="16" t="str">
        <x:v>LawRato public advocate profile</x:v>
      </x:c>
      <x:c r="J4" s="22" t="str">
        <x:v>https://lawrato.com/</x:v>
      </x:c>
      <x:c r="K4" s="16" t="str">
        <x:v>turn264673search5</x:v>
      </x:c>
      <x:c r="L4" s="16" t="str">
        <x:v>Profile-reported practice / enrolment</x:v>
      </x:c>
      <x:c r="M4" s="16" t="str">
        <x:v>Profile lists criminal, cyber, family, corporate, IP and property practice areas; no phone retained from retrieved result.</x:v>
      </x:c>
      <x:c r="N4" s="17" t="b">
        <x:v>0</x:v>
      </x:c>
      <x:c r="O4" s="14" t="str">
        <x:v>Explicit / mapped specialization</x:v>
      </x:c>
      <x:c r="P4" s="14" t="str">
        <x:v>Local/state directory coverage</x:v>
      </x:c>
    </x:row>
    <x:row r="5" ht="42" customHeight="1">
      <x:c r="A5" s="16" t="str">
        <x:v>SL004</x:v>
      </x:c>
      <x:c r="B5" s="16" t="str">
        <x:v>Arunachal Pradesh</x:v>
      </x:c>
      <x:c r="C5" s="16" t="str">
        <x:v>State</x:v>
      </x:c>
      <x:c r="D5" s="16" t="str">
        <x:v>Olen Komut</x:v>
      </x:c>
      <x:c r="E5" s="16" t="str">
        <x:v>Pasighat</x:v>
      </x:c>
      <x:c r="F5" s="22" t="str">
        <x:v>9863644580</x:v>
      </x:c>
      <x:c r="G5" s="16" t="str">
        <x:v>General Practice</x:v>
      </x:c>
      <x:c r="H5" s="16" t="str">
        <x:v>General Practice</x:v>
      </x:c>
      <x:c r="I5" s="16" t="str">
        <x:v>Free Law / De Jure public directory</x:v>
      </x:c>
      <x:c r="J5" s="22" t="str">
        <x:v>https://www.freelaw.in/advocates-in-arunachal-pradesh-state</x:v>
      </x:c>
      <x:c r="K5" s="16" t="str">
        <x:v>turn439950view0</x:v>
      </x:c>
      <x:c r="L5" s="16" t="str">
        <x:v>Public directory listing</x:v>
      </x:c>
      <x:c r="M5" s="16" t="str">
        <x:v>Narrower specialization not shown in retrieved directory result.</x:v>
      </x:c>
      <x:c r="N5" s="17" t="b">
        <x:v>1</x:v>
      </x:c>
      <x:c r="O5" s="14" t="str">
        <x:v>Fallback / no narrower category in retrieved source</x:v>
      </x:c>
      <x:c r="P5" s="14" t="str">
        <x:v>Local/state directory coverage</x:v>
      </x:c>
    </x:row>
    <x:row r="6" ht="42" customHeight="1">
      <x:c r="A6" s="16" t="str">
        <x:v>SL005</x:v>
      </x:c>
      <x:c r="B6" s="16" t="str">
        <x:v>Arunachal Pradesh</x:v>
      </x:c>
      <x:c r="C6" s="16" t="str">
        <x:v>State</x:v>
      </x:c>
      <x:c r="D6" s="16" t="str">
        <x:v>Chukhu Peter</x:v>
      </x:c>
      <x:c r="E6" s="16" t="str">
        <x:v>Itanagar</x:v>
      </x:c>
      <x:c r="F6" s="22" t="str">
        <x:v>8014265192</x:v>
      </x:c>
      <x:c r="G6" s="16" t="str">
        <x:v>General Practice</x:v>
      </x:c>
      <x:c r="H6" s="16" t="str">
        <x:v>General Practice</x:v>
      </x:c>
      <x:c r="I6" s="16" t="str">
        <x:v>Free Law / De Jure public directory</x:v>
      </x:c>
      <x:c r="J6" s="22" t="str">
        <x:v>https://www.freelaw.in/advocates-in-arunachal-pradesh-state</x:v>
      </x:c>
      <x:c r="K6" s="16" t="str">
        <x:v>turn439950view0</x:v>
      </x:c>
      <x:c r="L6" s="16" t="str">
        <x:v>Public directory listing</x:v>
      </x:c>
      <x:c r="M6" s="16" t="str">
        <x:v>Narrower specialization not shown in retrieved directory result.</x:v>
      </x:c>
      <x:c r="N6" s="17" t="b">
        <x:v>1</x:v>
      </x:c>
      <x:c r="O6" s="14" t="str">
        <x:v>Fallback / no narrower category in retrieved source</x:v>
      </x:c>
      <x:c r="P6" s="14" t="str">
        <x:v>Local/state directory coverage</x:v>
      </x:c>
    </x:row>
    <x:row r="7" ht="42" customHeight="1">
      <x:c r="A7" s="16" t="str">
        <x:v>SL006</x:v>
      </x:c>
      <x:c r="B7" s="16" t="str">
        <x:v>Arunachal Pradesh</x:v>
      </x:c>
      <x:c r="C7" s="16" t="str">
        <x:v>State</x:v>
      </x:c>
      <x:c r="D7" s="16" t="str">
        <x:v>Tenzin Wangchuk Sermo</x:v>
      </x:c>
      <x:c r="E7" s="16" t="str">
        <x:v>Naharlagun</x:v>
      </x:c>
      <x:c r="F7" s="22" t="str">
        <x:v>8798237770; 7005925817</x:v>
      </x:c>
      <x:c r="G7" s="16" t="str">
        <x:v>General Practice</x:v>
      </x:c>
      <x:c r="H7" s="16" t="str">
        <x:v>General Practice</x:v>
      </x:c>
      <x:c r="I7" s="16" t="str">
        <x:v>Free Law / De Jure public directory</x:v>
      </x:c>
      <x:c r="J7" s="22" t="str">
        <x:v>https://www.freelaw.in/advocates-in-arunachal-pradesh-state</x:v>
      </x:c>
      <x:c r="K7" s="16" t="str">
        <x:v>turn439950view0</x:v>
      </x:c>
      <x:c r="L7" s="16" t="str">
        <x:v>Public directory listing</x:v>
      </x:c>
      <x:c r="M7" s="16" t="str">
        <x:v>Narrower specialization not shown in retrieved directory result.</x:v>
      </x:c>
      <x:c r="N7" s="17" t="b">
        <x:v>1</x:v>
      </x:c>
      <x:c r="O7" s="14" t="str">
        <x:v>Fallback / no narrower category in retrieved source</x:v>
      </x:c>
      <x:c r="P7" s="14" t="str">
        <x:v>Local/state directory coverage</x:v>
      </x:c>
    </x:row>
    <x:row r="8" ht="42" customHeight="1">
      <x:c r="A8" s="16" t="str">
        <x:v>SL007</x:v>
      </x:c>
      <x:c r="B8" s="16" t="str">
        <x:v>Assam</x:v>
      </x:c>
      <x:c r="C8" s="16" t="str">
        <x:v>State</x:v>
      </x:c>
      <x:c r="D8" s="16" t="str">
        <x:v>Sanjay Mitra</x:v>
      </x:c>
      <x:c r="E8" s="16" t="str">
        <x:v>Guwahati</x:v>
      </x:c>
      <x:c r="F8" s="22" t="str"/>
      <x:c r="G8" s="16" t="str">
        <x:v>Criminal Law</x:v>
      </x:c>
      <x:c r="H8" s="16" t="str">
        <x:v>Criminal Law, Corporate Law, Divorce &amp; Family Law, Domestic Violence, Property Rights</x:v>
      </x:c>
      <x:c r="I8" s="16" t="str">
        <x:v>LawRato public advocate profile</x:v>
      </x:c>
      <x:c r="J8" s="22" t="str">
        <x:v>https://lawrato.com/</x:v>
      </x:c>
      <x:c r="K8" s="16" t="str">
        <x:v>turn264673search2</x:v>
      </x:c>
      <x:c r="L8" s="16" t="str">
        <x:v>Profile-reported practice / enrolment</x:v>
      </x:c>
      <x:c r="M8" s="16" t="str">
        <x:v>Profile describes criminal work including bail/economic offences, corporate/NCLT, family/domestic-violence and property work; no phone retained.</x:v>
      </x:c>
      <x:c r="N8" s="17" t="b">
        <x:v>0</x:v>
      </x:c>
      <x:c r="O8" s="14" t="str">
        <x:v>Explicit / mapped specialization</x:v>
      </x:c>
      <x:c r="P8" s="14" t="str">
        <x:v>Local/state directory coverage</x:v>
      </x:c>
    </x:row>
    <x:row r="9" ht="42" customHeight="1">
      <x:c r="A9" s="16" t="str">
        <x:v>SL008</x:v>
      </x:c>
      <x:c r="B9" s="16" t="str">
        <x:v>Assam</x:v>
      </x:c>
      <x:c r="C9" s="16" t="str">
        <x:v>State</x:v>
      </x:c>
      <x:c r="D9" s="16" t="str">
        <x:v>Samudragupta Dutta</x:v>
      </x:c>
      <x:c r="E9" s="16" t="str">
        <x:v>Guwahati</x:v>
      </x:c>
      <x:c r="F9" s="22" t="str"/>
      <x:c r="G9" s="16" t="str">
        <x:v>General Practice</x:v>
      </x:c>
      <x:c r="H9" s="16" t="str">
        <x:v>General Practice, Property Rights, Employment Law, Intellectual Property, Consumer Protection, Divorce &amp; Family Law</x:v>
      </x:c>
      <x:c r="I9" s="16" t="str">
        <x:v>LawRato public advocate profile</x:v>
      </x:c>
      <x:c r="J9" s="22" t="str">
        <x:v>https://lawrato.com/</x:v>
      </x:c>
      <x:c r="K9" s="16" t="str">
        <x:v>turn264673search11</x:v>
      </x:c>
      <x:c r="L9" s="16" t="str">
        <x:v>Profile-reported practice / enrolment</x:v>
      </x:c>
      <x:c r="M9" s="16" t="str">
        <x:v>Profile states enrolment with Assam and several other North-Eastern State Bar Councils; practice includes civil, labour, IP, consumer and family matters.</x:v>
      </x:c>
      <x:c r="N9" s="17" t="b">
        <x:v>0</x:v>
      </x:c>
      <x:c r="O9" s="14" t="str">
        <x:v>Explicit / mapped specialization</x:v>
      </x:c>
      <x:c r="P9" s="14" t="str">
        <x:v>Local/state directory coverage</x:v>
      </x:c>
    </x:row>
    <x:row r="10" ht="42" customHeight="1">
      <x:c r="A10" s="16" t="str">
        <x:v>SL009</x:v>
      </x:c>
      <x:c r="B10" s="16" t="str">
        <x:v>Assam</x:v>
      </x:c>
      <x:c r="C10" s="16" t="str">
        <x:v>State</x:v>
      </x:c>
      <x:c r="D10" s="16" t="str">
        <x:v>Swaminath</x:v>
      </x:c>
      <x:c r="E10" s="16" t="str">
        <x:v>Assam</x:v>
      </x:c>
      <x:c r="F10" s="22" t="str"/>
      <x:c r="G10" s="16" t="str">
        <x:v>Corporate Law</x:v>
      </x:c>
      <x:c r="H10" s="16" t="str">
        <x:v>Corporate Law, Labor Law, Divorce &amp; Family Law, Criminal Law, Cyber Law, Consumer Protection, Tax Law</x:v>
      </x:c>
      <x:c r="I10" s="16" t="str">
        <x:v>LawRato public advocate profile</x:v>
      </x:c>
      <x:c r="J10" s="22" t="str">
        <x:v>https://lawrato.com/</x:v>
      </x:c>
      <x:c r="K10" s="16" t="str">
        <x:v>turn264673search0</x:v>
      </x:c>
      <x:c r="L10" s="16" t="str">
        <x:v>Profile-reported practice / enrolment</x:v>
      </x:c>
      <x:c r="M10" s="16" t="str">
        <x:v>Profile lists corporate, labour, family, criminal, cyber, consumer, banking/tax/GST and higher-court practice.</x:v>
      </x:c>
      <x:c r="N10" s="17" t="b">
        <x:v>0</x:v>
      </x:c>
      <x:c r="O10" s="14" t="str">
        <x:v>Explicit / mapped specialization</x:v>
      </x:c>
      <x:c r="P10" s="14" t="str">
        <x:v>Local/state directory coverage</x:v>
      </x:c>
    </x:row>
    <x:row r="11" ht="42" customHeight="1">
      <x:c r="A11" s="16" t="str">
        <x:v>SL010</x:v>
      </x:c>
      <x:c r="B11" s="16" t="str">
        <x:v>Bihar</x:v>
      </x:c>
      <x:c r="C11" s="16" t="str">
        <x:v>State</x:v>
      </x:c>
      <x:c r="D11" s="16" t="str">
        <x:v>Kashyap Kaushal</x:v>
      </x:c>
      <x:c r="E11" s="16" t="str">
        <x:v>Bihar</x:v>
      </x:c>
      <x:c r="F11" s="22" t="str"/>
      <x:c r="G11" s="16" t="str">
        <x:v>Property Rights</x:v>
      </x:c>
      <x:c r="H11" s="16" t="str">
        <x:v>Property Rights, Criminal Law, Cyber Law, Divorce &amp; Family Law, Domestic Violence, Employment Law, Corporate Law</x:v>
      </x:c>
      <x:c r="I11" s="16" t="str">
        <x:v>LawRato public advocate profile</x:v>
      </x:c>
      <x:c r="J11" s="22" t="str">
        <x:v>https://lawrato.com/</x:v>
      </x:c>
      <x:c r="K11" s="16" t="str">
        <x:v>turn956687search5</x:v>
      </x:c>
      <x:c r="L11" s="16" t="str">
        <x:v>Profile-reported practice / enrolment</x:v>
      </x:c>
      <x:c r="M11" s="16" t="str">
        <x:v>Profile lists property/RERA, criminal/cyber, family/domestic violence, labour/civil and corporate practice.</x:v>
      </x:c>
      <x:c r="N11" s="17" t="b">
        <x:v>0</x:v>
      </x:c>
      <x:c r="O11" s="14" t="str">
        <x:v>Explicit / mapped specialization</x:v>
      </x:c>
      <x:c r="P11" s="14" t="str">
        <x:v>Local/state directory coverage</x:v>
      </x:c>
    </x:row>
    <x:row r="12" ht="42" customHeight="1">
      <x:c r="A12" s="16" t="str">
        <x:v>SL011</x:v>
      </x:c>
      <x:c r="B12" s="16" t="str">
        <x:v>Bihar</x:v>
      </x:c>
      <x:c r="C12" s="16" t="str">
        <x:v>State</x:v>
      </x:c>
      <x:c r="D12" s="16" t="str">
        <x:v>Ravi Bhushan Prasad Sinha</x:v>
      </x:c>
      <x:c r="E12" s="16" t="str">
        <x:v>Bihar</x:v>
      </x:c>
      <x:c r="F12" s="22" t="str"/>
      <x:c r="G12" s="16" t="str">
        <x:v>Criminal Law</x:v>
      </x:c>
      <x:c r="H12" s="16" t="str">
        <x:v>Criminal Law, Divorce &amp; Family Law, Property Rights, Corporate Law, Employment Law</x:v>
      </x:c>
      <x:c r="I12" s="16" t="str">
        <x:v>LawRato public advocate profile</x:v>
      </x:c>
      <x:c r="J12" s="22" t="str">
        <x:v>https://lawrato.com/</x:v>
      </x:c>
      <x:c r="K12" s="16" t="str">
        <x:v>turn956687search9</x:v>
      </x:c>
      <x:c r="L12" s="16" t="str">
        <x:v>Profile-reported practice / enrolment</x:v>
      </x:c>
      <x:c r="M12" s="16" t="str">
        <x:v>Profile lists criminal, family, property, corporate documentation and labour practice.</x:v>
      </x:c>
      <x:c r="N12" s="17" t="b">
        <x:v>0</x:v>
      </x:c>
      <x:c r="O12" s="14" t="str">
        <x:v>Explicit / mapped specialization</x:v>
      </x:c>
      <x:c r="P12" s="14" t="str">
        <x:v>Local/state directory coverage</x:v>
      </x:c>
    </x:row>
    <x:row r="13" ht="42" customHeight="1">
      <x:c r="A13" s="16" t="str">
        <x:v>SL012</x:v>
      </x:c>
      <x:c r="B13" s="16" t="str">
        <x:v>Bihar</x:v>
      </x:c>
      <x:c r="C13" s="16" t="str">
        <x:v>State</x:v>
      </x:c>
      <x:c r="D13" s="16" t="str">
        <x:v>Rajneesh Kumar</x:v>
      </x:c>
      <x:c r="E13" s="16" t="str">
        <x:v>Hajipur</x:v>
      </x:c>
      <x:c r="F13" s="22" t="str"/>
      <x:c r="G13" s="16" t="str">
        <x:v>Criminal Law</x:v>
      </x:c>
      <x:c r="H13" s="16" t="str">
        <x:v>Criminal Law</x:v>
      </x:c>
      <x:c r="I13" s="16" t="str">
        <x:v>LawRato public advocate directory page</x:v>
      </x:c>
      <x:c r="J13" s="22" t="str">
        <x:v>https://lawrato.com/</x:v>
      </x:c>
      <x:c r="K13" s="16" t="str">
        <x:v>turn501222search1</x:v>
      </x:c>
      <x:c r="L13" s="16" t="str">
        <x:v>Public directory page</x:v>
      </x:c>
      <x:c r="M13" s="16" t="str">
        <x:v>Hajipur directory result identifies Rajneesh Kumar under Criminal practice.</x:v>
      </x:c>
      <x:c r="N13" s="17" t="b">
        <x:v>0</x:v>
      </x:c>
      <x:c r="O13" s="14" t="str">
        <x:v>Explicit / mapped specialization</x:v>
      </x:c>
      <x:c r="P13" s="14" t="str">
        <x:v>Local/state directory coverage</x:v>
      </x:c>
    </x:row>
    <x:row r="14" ht="42" customHeight="1">
      <x:c r="A14" s="16" t="str">
        <x:v>SL013</x:v>
      </x:c>
      <x:c r="B14" s="16" t="str">
        <x:v>Chhattisgarh</x:v>
      </x:c>
      <x:c r="C14" s="16" t="str">
        <x:v>State</x:v>
      </x:c>
      <x:c r="D14" s="16" t="str">
        <x:v>Vivek Kumar Agrawal</x:v>
      </x:c>
      <x:c r="E14" s="16" t="str">
        <x:v>Bilaspur</x:v>
      </x:c>
      <x:c r="F14" s="22" t="str"/>
      <x:c r="G14" s="16" t="str">
        <x:v>Criminal Law</x:v>
      </x:c>
      <x:c r="H14" s="16" t="str">
        <x:v>Criminal Law</x:v>
      </x:c>
      <x:c r="I14" s="16" t="str">
        <x:v>LawRato public advocate directory page</x:v>
      </x:c>
      <x:c r="J14" s="22" t="str">
        <x:v>https://lawrato.com/</x:v>
      </x:c>
      <x:c r="K14" s="16" t="str">
        <x:v>turn501222search0</x:v>
      </x:c>
      <x:c r="L14" s="16" t="str">
        <x:v>Public directory page</x:v>
      </x:c>
      <x:c r="M14" s="16" t="str">
        <x:v>Bilaspur page lists this advocate with Criminal practice.</x:v>
      </x:c>
      <x:c r="N14" s="17" t="b">
        <x:v>0</x:v>
      </x:c>
      <x:c r="O14" s="14" t="str">
        <x:v>Explicit / mapped specialization</x:v>
      </x:c>
      <x:c r="P14" s="14" t="str">
        <x:v>Local/state directory coverage</x:v>
      </x:c>
    </x:row>
    <x:row r="15" ht="42" customHeight="1">
      <x:c r="A15" s="16" t="str">
        <x:v>SL014</x:v>
      </x:c>
      <x:c r="B15" s="16" t="str">
        <x:v>Chhattisgarh</x:v>
      </x:c>
      <x:c r="C15" s="16" t="str">
        <x:v>State</x:v>
      </x:c>
      <x:c r="D15" s="16" t="str">
        <x:v>Shankar Lal Agrawal</x:v>
      </x:c>
      <x:c r="E15" s="16" t="str">
        <x:v>Bilaspur</x:v>
      </x:c>
      <x:c r="F15" s="22" t="str"/>
      <x:c r="G15" s="16" t="str">
        <x:v>Criminal Law</x:v>
      </x:c>
      <x:c r="H15" s="16" t="str">
        <x:v>Criminal Law</x:v>
      </x:c>
      <x:c r="I15" s="16" t="str">
        <x:v>LawRato public advocate directory page</x:v>
      </x:c>
      <x:c r="J15" s="22" t="str">
        <x:v>https://lawrato.com/</x:v>
      </x:c>
      <x:c r="K15" s="16" t="str">
        <x:v>turn501222search0</x:v>
      </x:c>
      <x:c r="L15" s="16" t="str">
        <x:v>Public directory page</x:v>
      </x:c>
      <x:c r="M15" s="16" t="str">
        <x:v>Bilaspur page lists this advocate with Criminal practice.</x:v>
      </x:c>
      <x:c r="N15" s="17" t="b">
        <x:v>0</x:v>
      </x:c>
      <x:c r="O15" s="14" t="str">
        <x:v>Explicit / mapped specialization</x:v>
      </x:c>
      <x:c r="P15" s="14" t="str">
        <x:v>Local/state directory coverage</x:v>
      </x:c>
    </x:row>
    <x:row r="16" ht="42" customHeight="1">
      <x:c r="A16" s="16" t="str">
        <x:v>SL015</x:v>
      </x:c>
      <x:c r="B16" s="16" t="str">
        <x:v>Chhattisgarh</x:v>
      </x:c>
      <x:c r="C16" s="16" t="str">
        <x:v>State</x:v>
      </x:c>
      <x:c r="D16" s="16" t="str">
        <x:v>Abhishek Pandey</x:v>
      </x:c>
      <x:c r="E16" s="16" t="str">
        <x:v>Bilaspur</x:v>
      </x:c>
      <x:c r="F16" s="22" t="str"/>
      <x:c r="G16" s="16" t="str">
        <x:v>Criminal Law</x:v>
      </x:c>
      <x:c r="H16" s="16" t="str">
        <x:v>Criminal Law</x:v>
      </x:c>
      <x:c r="I16" s="16" t="str">
        <x:v>LawRato public advocate directory page</x:v>
      </x:c>
      <x:c r="J16" s="22" t="str">
        <x:v>https://lawrato.com/</x:v>
      </x:c>
      <x:c r="K16" s="16" t="str">
        <x:v>turn501222search0</x:v>
      </x:c>
      <x:c r="L16" s="16" t="str">
        <x:v>Public directory page</x:v>
      </x:c>
      <x:c r="M16" s="16" t="str">
        <x:v>Bilaspur page lists this advocate with Criminal practice.</x:v>
      </x:c>
      <x:c r="N16" s="17" t="b">
        <x:v>0</x:v>
      </x:c>
      <x:c r="O16" s="14" t="str">
        <x:v>Explicit / mapped specialization</x:v>
      </x:c>
      <x:c r="P16" s="14" t="str">
        <x:v>Local/state directory coverage</x:v>
      </x:c>
    </x:row>
    <x:row r="17" ht="42" customHeight="1">
      <x:c r="A17" s="16" t="str">
        <x:v>SL016</x:v>
      </x:c>
      <x:c r="B17" s="16" t="str">
        <x:v>Goa</x:v>
      </x:c>
      <x:c r="C17" s="16" t="str">
        <x:v>State</x:v>
      </x:c>
      <x:c r="D17" s="16" t="str">
        <x:v>Love Kumar Soni</x:v>
      </x:c>
      <x:c r="E17" s="16" t="str">
        <x:v>Goa</x:v>
      </x:c>
      <x:c r="F17" s="22" t="str"/>
      <x:c r="G17" s="16" t="str">
        <x:v>General Practice</x:v>
      </x:c>
      <x:c r="H17" s="16" t="str">
        <x:v>General Practice</x:v>
      </x:c>
      <x:c r="I17" s="16" t="str">
        <x:v>LawRato public advocate directory page</x:v>
      </x:c>
      <x:c r="J17" s="22" t="str">
        <x:v>https://lawrato.com/</x:v>
      </x:c>
      <x:c r="K17" s="16" t="str">
        <x:v>turn617089search0</x:v>
      </x:c>
      <x:c r="L17" s="16" t="str">
        <x:v>Public directory page</x:v>
      </x:c>
      <x:c r="M17" s="16" t="str">
        <x:v>Directory shows Civil as primary category; mapped to General Practice because Civil is not in the app's dropdown.</x:v>
      </x:c>
      <x:c r="N17" s="17" t="b">
        <x:v>0</x:v>
      </x:c>
      <x:c r="O17" s="14" t="str">
        <x:v>Fallback / no narrower category in retrieved source</x:v>
      </x:c>
      <x:c r="P17" s="14" t="str">
        <x:v>Local/state directory coverage</x:v>
      </x:c>
    </x:row>
    <x:row r="18" ht="42" customHeight="1">
      <x:c r="A18" s="16" t="str">
        <x:v>SL017</x:v>
      </x:c>
      <x:c r="B18" s="16" t="str">
        <x:v>Goa</x:v>
      </x:c>
      <x:c r="C18" s="16" t="str">
        <x:v>State</x:v>
      </x:c>
      <x:c r="D18" s="16" t="str">
        <x:v>Siddesh Gurudas Goltekar</x:v>
      </x:c>
      <x:c r="E18" s="16" t="str">
        <x:v>Goa</x:v>
      </x:c>
      <x:c r="F18" s="22" t="str"/>
      <x:c r="G18" s="16" t="str">
        <x:v>General Practice</x:v>
      </x:c>
      <x:c r="H18" s="16" t="str">
        <x:v>General Practice</x:v>
      </x:c>
      <x:c r="I18" s="16" t="str">
        <x:v>LawRato public advocate directory page</x:v>
      </x:c>
      <x:c r="J18" s="22" t="str">
        <x:v>https://lawrato.com/</x:v>
      </x:c>
      <x:c r="K18" s="16" t="str">
        <x:v>turn617089search0</x:v>
      </x:c>
      <x:c r="L18" s="16" t="str">
        <x:v>Public directory page</x:v>
      </x:c>
      <x:c r="M18" s="16" t="str">
        <x:v>Directory shows Cheque Bounce as primary category; mapped to General Practice because there is no cheque-bounce category in the app.</x:v>
      </x:c>
      <x:c r="N18" s="17" t="b">
        <x:v>0</x:v>
      </x:c>
      <x:c r="O18" s="14" t="str">
        <x:v>Fallback / no narrower category in retrieved source</x:v>
      </x:c>
      <x:c r="P18" s="14" t="str">
        <x:v>Local/state directory coverage</x:v>
      </x:c>
    </x:row>
    <x:row r="19" ht="42" customHeight="1">
      <x:c r="A19" s="16" t="str">
        <x:v>SL018</x:v>
      </x:c>
      <x:c r="B19" s="16" t="str">
        <x:v>Goa</x:v>
      </x:c>
      <x:c r="C19" s="16" t="str">
        <x:v>State</x:v>
      </x:c>
      <x:c r="D19" s="16" t="str">
        <x:v>Yash Yogesh Naik</x:v>
      </x:c>
      <x:c r="E19" s="16" t="str">
        <x:v>Goa</x:v>
      </x:c>
      <x:c r="F19" s="22" t="str"/>
      <x:c r="G19" s="16" t="str">
        <x:v>Criminal Law</x:v>
      </x:c>
      <x:c r="H19" s="16" t="str">
        <x:v>Criminal Law</x:v>
      </x:c>
      <x:c r="I19" s="16" t="str">
        <x:v>LawRato public advocate directory page</x:v>
      </x:c>
      <x:c r="J19" s="22" t="str">
        <x:v>https://lawrato.com/</x:v>
      </x:c>
      <x:c r="K19" s="16" t="str">
        <x:v>turn617089search0</x:v>
      </x:c>
      <x:c r="L19" s="16" t="str">
        <x:v>Public directory page</x:v>
      </x:c>
      <x:c r="M19" s="16" t="str">
        <x:v>Directory shows Criminal as primary category.</x:v>
      </x:c>
      <x:c r="N19" s="17" t="b">
        <x:v>0</x:v>
      </x:c>
      <x:c r="O19" s="14" t="str">
        <x:v>Explicit / mapped specialization</x:v>
      </x:c>
      <x:c r="P19" s="14" t="str">
        <x:v>Local/state directory coverage</x:v>
      </x:c>
    </x:row>
    <x:row r="20" ht="42" customHeight="1">
      <x:c r="A20" s="16" t="str">
        <x:v>SL019</x:v>
      </x:c>
      <x:c r="B20" s="16" t="str">
        <x:v>Gujarat</x:v>
      </x:c>
      <x:c r="C20" s="16" t="str">
        <x:v>State</x:v>
      </x:c>
      <x:c r="D20" s="16" t="str">
        <x:v>Athar Amaan Hava</x:v>
      </x:c>
      <x:c r="E20" s="16" t="str">
        <x:v>Gujarat</x:v>
      </x:c>
      <x:c r="F20" s="22" t="str"/>
      <x:c r="G20" s="16" t="str">
        <x:v>Corporate Law</x:v>
      </x:c>
      <x:c r="H20" s="16" t="str">
        <x:v>Corporate Law, Criminal Law, Divorce &amp; Family Law, Domestic Violence, Property Rights, Consumer Protection, Employment Law, Intellectual Property, Tax Law</x:v>
      </x:c>
      <x:c r="I20" s="16" t="str">
        <x:v>LawRato public advocate profile</x:v>
      </x:c>
      <x:c r="J20" s="22" t="str">
        <x:v>https://lawrato.com/</x:v>
      </x:c>
      <x:c r="K20" s="16" t="str">
        <x:v>turn617089search5</x:v>
      </x:c>
      <x:c r="L20" s="16" t="str">
        <x:v>Profile-reported practice / enrolment</x:v>
      </x:c>
      <x:c r="M20" s="16" t="str">
        <x:v>Profile lists corporate/arbitration/IP/NCLT/bankruptcy, criminal, family/domestic violence, property/RERA, banking/customs, consumer and labour matters.</x:v>
      </x:c>
      <x:c r="N20" s="17" t="b">
        <x:v>0</x:v>
      </x:c>
      <x:c r="O20" s="14" t="str">
        <x:v>Explicit / mapped specialization</x:v>
      </x:c>
      <x:c r="P20" s="14" t="str">
        <x:v>Local/state directory coverage</x:v>
      </x:c>
    </x:row>
    <x:row r="21" ht="42" customHeight="1">
      <x:c r="A21" s="16" t="str">
        <x:v>SL020</x:v>
      </x:c>
      <x:c r="B21" s="16" t="str">
        <x:v>Gujarat</x:v>
      </x:c>
      <x:c r="C21" s="16" t="str">
        <x:v>State</x:v>
      </x:c>
      <x:c r="D21" s="16" t="str">
        <x:v>Kashyap Shukla</x:v>
      </x:c>
      <x:c r="E21" s="16" t="str">
        <x:v>Gujarat</x:v>
      </x:c>
      <x:c r="F21" s="22" t="str">
        <x:v> </x:v>
      </x:c>
      <x:c r="G21" s="16" t="str">
        <x:v>General Practice</x:v>
      </x:c>
      <x:c r="H21" s="16" t="str">
        <x:v>General Practice</x:v>
      </x:c>
      <x:c r="I21" s="16" t="str">
        <x:v>Free Law / De Jure public directory</x:v>
      </x:c>
      <x:c r="J21" s="22" t="str">
        <x:v>https://www.freelaw.in/advocates-in-gujarat-state</x:v>
      </x:c>
      <x:c r="K21" s="16" t="str">
        <x:v>turn936245search4</x:v>
      </x:c>
      <x:c r="L21" s="16" t="str">
        <x:v>Public directory listing</x:v>
      </x:c>
      <x:c r="M21" s="16" t="str">
        <x:v>Narrower specialization not shown in retrieved directory result.</x:v>
      </x:c>
      <x:c r="N21" s="17" t="b">
        <x:v>0</x:v>
      </x:c>
      <x:c r="O21" s="14" t="str">
        <x:v>Fallback / no narrower category in retrieved source</x:v>
      </x:c>
      <x:c r="P21" s="14" t="str">
        <x:v>Local/state directory coverage</x:v>
      </x:c>
    </x:row>
    <x:row r="22" ht="42" customHeight="1">
      <x:c r="A22" s="16" t="str">
        <x:v>SL021</x:v>
      </x:c>
      <x:c r="B22" s="16" t="str">
        <x:v>Gujarat</x:v>
      </x:c>
      <x:c r="C22" s="16" t="str">
        <x:v>State</x:v>
      </x:c>
      <x:c r="D22" s="16" t="str">
        <x:v>Gaurav Pandya</x:v>
      </x:c>
      <x:c r="E22" s="16" t="str">
        <x:v>Gujarat</x:v>
      </x:c>
      <x:c r="F22" s="22" t="str">
        <x:v> </x:v>
      </x:c>
      <x:c r="G22" s="16" t="str">
        <x:v>General Practice</x:v>
      </x:c>
      <x:c r="H22" s="16" t="str">
        <x:v>General Practice</x:v>
      </x:c>
      <x:c r="I22" s="16" t="str">
        <x:v>Free Law / De Jure public directory</x:v>
      </x:c>
      <x:c r="J22" s="22" t="str">
        <x:v>https://www.freelaw.in/advocates-in-gujarat-state</x:v>
      </x:c>
      <x:c r="K22" s="16" t="str">
        <x:v>turn936245search4</x:v>
      </x:c>
      <x:c r="L22" s="16" t="str">
        <x:v>Public directory listing</x:v>
      </x:c>
      <x:c r="M22" s="16" t="str">
        <x:v>Narrower specialization not shown in retrieved directory result.</x:v>
      </x:c>
      <x:c r="N22" s="17" t="b">
        <x:v>0</x:v>
      </x:c>
      <x:c r="O22" s="14" t="str">
        <x:v>Fallback / no narrower category in retrieved source</x:v>
      </x:c>
      <x:c r="P22" s="14" t="str">
        <x:v>Local/state directory coverage</x:v>
      </x:c>
    </x:row>
    <x:row r="23" ht="42" customHeight="1">
      <x:c r="A23" s="16" t="str">
        <x:v>SL022</x:v>
      </x:c>
      <x:c r="B23" s="16" t="str">
        <x:v>Haryana</x:v>
      </x:c>
      <x:c r="C23" s="16" t="str">
        <x:v>State</x:v>
      </x:c>
      <x:c r="D23" s="16" t="str">
        <x:v>Sanjeev Gupta</x:v>
      </x:c>
      <x:c r="E23" s="16" t="str">
        <x:v>Panchkula</x:v>
      </x:c>
      <x:c r="F23" s="22" t="str">
        <x:v>9417339703</x:v>
      </x:c>
      <x:c r="G23" s="16" t="str">
        <x:v>General Practice</x:v>
      </x:c>
      <x:c r="H23" s="16" t="str">
        <x:v>General Practice</x:v>
      </x:c>
      <x:c r="I23" s="16" t="str">
        <x:v>Free Law / De Jure public directory</x:v>
      </x:c>
      <x:c r="J23" s="22" t="str">
        <x:v>https://www.freelaw.in/advocates-in-haryana-state</x:v>
      </x:c>
      <x:c r="K23" s="16" t="str">
        <x:v>turn898378view2</x:v>
      </x:c>
      <x:c r="L23" s="16" t="str">
        <x:v>Public directory listing</x:v>
      </x:c>
      <x:c r="M23" s="16" t="str">
        <x:v>Narrower specialization not shown in retrieved directory result.</x:v>
      </x:c>
      <x:c r="N23" s="17" t="b">
        <x:v>1</x:v>
      </x:c>
      <x:c r="O23" s="14" t="str">
        <x:v>Fallback / no narrower category in retrieved source</x:v>
      </x:c>
      <x:c r="P23" s="14" t="str">
        <x:v>Local/state directory coverage</x:v>
      </x:c>
    </x:row>
    <x:row r="24" ht="42" customHeight="1">
      <x:c r="A24" s="16" t="str">
        <x:v>SL023</x:v>
      </x:c>
      <x:c r="B24" s="16" t="str">
        <x:v>Haryana</x:v>
      </x:c>
      <x:c r="C24" s="16" t="str">
        <x:v>State</x:v>
      </x:c>
      <x:c r="D24" s="16" t="str">
        <x:v>Yunishka Cherwal</x:v>
      </x:c>
      <x:c r="E24" s="16" t="str">
        <x:v>Hissar</x:v>
      </x:c>
      <x:c r="F24" s="22" t="str">
        <x:v>9991057716</x:v>
      </x:c>
      <x:c r="G24" s="16" t="str">
        <x:v>General Practice</x:v>
      </x:c>
      <x:c r="H24" s="16" t="str">
        <x:v>General Practice</x:v>
      </x:c>
      <x:c r="I24" s="16" t="str">
        <x:v>Free Law / De Jure public directory</x:v>
      </x:c>
      <x:c r="J24" s="22" t="str">
        <x:v>https://www.freelaw.in/advocates-in-haryana-state</x:v>
      </x:c>
      <x:c r="K24" s="16" t="str">
        <x:v>turn898378view2</x:v>
      </x:c>
      <x:c r="L24" s="16" t="str">
        <x:v>Public directory listing</x:v>
      </x:c>
      <x:c r="M24" s="16" t="str">
        <x:v>Narrower specialization not shown in retrieved directory result.</x:v>
      </x:c>
      <x:c r="N24" s="17" t="b">
        <x:v>1</x:v>
      </x:c>
      <x:c r="O24" s="14" t="str">
        <x:v>Fallback / no narrower category in retrieved source</x:v>
      </x:c>
      <x:c r="P24" s="14" t="str">
        <x:v>Local/state directory coverage</x:v>
      </x:c>
    </x:row>
    <x:row r="25" ht="42" customHeight="1">
      <x:c r="A25" s="16" t="str">
        <x:v>SL024</x:v>
      </x:c>
      <x:c r="B25" s="16" t="str">
        <x:v>Haryana</x:v>
      </x:c>
      <x:c r="C25" s="16" t="str">
        <x:v>State</x:v>
      </x:c>
      <x:c r="D25" s="16" t="str">
        <x:v>Rajinder Verma</x:v>
      </x:c>
      <x:c r="E25" s="16" t="str">
        <x:v>Panchkula</x:v>
      </x:c>
      <x:c r="F25" s="22" t="str">
        <x:v>9466895291</x:v>
      </x:c>
      <x:c r="G25" s="16" t="str">
        <x:v>General Practice</x:v>
      </x:c>
      <x:c r="H25" s="16" t="str">
        <x:v>General Practice</x:v>
      </x:c>
      <x:c r="I25" s="16" t="str">
        <x:v>Free Law / De Jure public directory</x:v>
      </x:c>
      <x:c r="J25" s="22" t="str">
        <x:v>https://www.freelaw.in/advocates-in-haryana-state</x:v>
      </x:c>
      <x:c r="K25" s="16" t="str">
        <x:v>turn898378view2</x:v>
      </x:c>
      <x:c r="L25" s="16" t="str">
        <x:v>Public directory listing</x:v>
      </x:c>
      <x:c r="M25" s="16" t="str">
        <x:v>Narrower specialization not shown in retrieved directory result.</x:v>
      </x:c>
      <x:c r="N25" s="17" t="b">
        <x:v>1</x:v>
      </x:c>
      <x:c r="O25" s="14" t="str">
        <x:v>Fallback / no narrower category in retrieved source</x:v>
      </x:c>
      <x:c r="P25" s="14" t="str">
        <x:v>Local/state directory coverage</x:v>
      </x:c>
    </x:row>
    <x:row r="26" ht="42" customHeight="1">
      <x:c r="A26" s="16" t="str">
        <x:v>SL025</x:v>
      </x:c>
      <x:c r="B26" s="16" t="str">
        <x:v>Himachal Pradesh</x:v>
      </x:c>
      <x:c r="C26" s="16" t="str">
        <x:v>State</x:v>
      </x:c>
      <x:c r="D26" s="16" t="str">
        <x:v>Sandeep Singh Saini</x:v>
      </x:c>
      <x:c r="E26" s="16" t="str">
        <x:v>Una</x:v>
      </x:c>
      <x:c r="F26" s="22" t="str">
        <x:v>9781072898</x:v>
      </x:c>
      <x:c r="G26" s="16" t="str">
        <x:v>General Practice</x:v>
      </x:c>
      <x:c r="H26" s="16" t="str">
        <x:v>General Practice</x:v>
      </x:c>
      <x:c r="I26" s="16" t="str">
        <x:v>Free Law / De Jure public directory</x:v>
      </x:c>
      <x:c r="J26" s="22" t="str">
        <x:v>https://www.freelaw.in/advocates-in-himachal-pradesh-state</x:v>
      </x:c>
      <x:c r="K26" s="16" t="str">
        <x:v>turn898378view3</x:v>
      </x:c>
      <x:c r="L26" s="16" t="str">
        <x:v>Public directory listing</x:v>
      </x:c>
      <x:c r="M26" s="16" t="str">
        <x:v>Narrower specialization not shown in retrieved directory result.</x:v>
      </x:c>
      <x:c r="N26" s="17" t="b">
        <x:v>1</x:v>
      </x:c>
      <x:c r="O26" s="14" t="str">
        <x:v>Fallback / no narrower category in retrieved source</x:v>
      </x:c>
      <x:c r="P26" s="14" t="str">
        <x:v>Local/state directory coverage</x:v>
      </x:c>
    </x:row>
    <x:row r="27" ht="42" customHeight="1">
      <x:c r="A27" s="16" t="str">
        <x:v>SL026</x:v>
      </x:c>
      <x:c r="B27" s="16" t="str">
        <x:v>Himachal Pradesh</x:v>
      </x:c>
      <x:c r="C27" s="16" t="str">
        <x:v>State</x:v>
      </x:c>
      <x:c r="D27" s="16" t="str">
        <x:v>Jai Prakash</x:v>
      </x:c>
      <x:c r="E27" s="16" t="str">
        <x:v>Shimla</x:v>
      </x:c>
      <x:c r="F27" s="22" t="str">
        <x:v>9805056323</x:v>
      </x:c>
      <x:c r="G27" s="16" t="str">
        <x:v>General Practice</x:v>
      </x:c>
      <x:c r="H27" s="16" t="str">
        <x:v>General Practice</x:v>
      </x:c>
      <x:c r="I27" s="16" t="str">
        <x:v>Free Law / De Jure public directory</x:v>
      </x:c>
      <x:c r="J27" s="22" t="str">
        <x:v>https://www.freelaw.in/advocates-in-himachal-pradesh-state</x:v>
      </x:c>
      <x:c r="K27" s="16" t="str">
        <x:v>turn898378view3</x:v>
      </x:c>
      <x:c r="L27" s="16" t="str">
        <x:v>Public directory listing</x:v>
      </x:c>
      <x:c r="M27" s="16" t="str">
        <x:v>Narrower specialization not shown in retrieved directory result.</x:v>
      </x:c>
      <x:c r="N27" s="17" t="b">
        <x:v>1</x:v>
      </x:c>
      <x:c r="O27" s="14" t="str">
        <x:v>Fallback / no narrower category in retrieved source</x:v>
      </x:c>
      <x:c r="P27" s="14" t="str">
        <x:v>Local/state directory coverage</x:v>
      </x:c>
    </x:row>
    <x:row r="28" ht="42" customHeight="1">
      <x:c r="A28" s="16" t="str">
        <x:v>SL027</x:v>
      </x:c>
      <x:c r="B28" s="16" t="str">
        <x:v>Himachal Pradesh</x:v>
      </x:c>
      <x:c r="C28" s="16" t="str">
        <x:v>State</x:v>
      </x:c>
      <x:c r="D28" s="16" t="str">
        <x:v>Amrick Singh Thakur</x:v>
      </x:c>
      <x:c r="E28" s="16" t="str">
        <x:v>Shimla</x:v>
      </x:c>
      <x:c r="F28" s="22" t="str">
        <x:v>8628834403</x:v>
      </x:c>
      <x:c r="G28" s="16" t="str">
        <x:v>Criminal Law</x:v>
      </x:c>
      <x:c r="H28" s="16" t="str">
        <x:v>Criminal Law</x:v>
      </x:c>
      <x:c r="I28" s="16" t="str">
        <x:v>Free Law / De Jure public directory</x:v>
      </x:c>
      <x:c r="J28" s="22" t="str">
        <x:v>https://www.freelaw.in/advocates-in-himachal-pradesh-state</x:v>
      </x:c>
      <x:c r="K28" s="16" t="str">
        <x:v>turn898378view3</x:v>
      </x:c>
      <x:c r="L28" s="16" t="str">
        <x:v>Public directory listing</x:v>
      </x:c>
      <x:c r="M28" s="16" t="str">
        <x:v>Directory explicitly identifies Criminal in the advocate credential/name line.</x:v>
      </x:c>
      <x:c r="N28" s="17" t="b">
        <x:v>1</x:v>
      </x:c>
      <x:c r="O28" s="14" t="str">
        <x:v>Explicit / mapped specialization</x:v>
      </x:c>
      <x:c r="P28" s="14" t="str">
        <x:v>Local/state directory coverage</x:v>
      </x:c>
    </x:row>
    <x:row r="29" ht="42" customHeight="1">
      <x:c r="A29" s="16" t="str">
        <x:v>SL028</x:v>
      </x:c>
      <x:c r="B29" s="16" t="str">
        <x:v>Jharkhand</x:v>
      </x:c>
      <x:c r="C29" s="16" t="str">
        <x:v>State</x:v>
      </x:c>
      <x:c r="D29" s="16" t="str">
        <x:v>Ganesh Chandra Jha</x:v>
      </x:c>
      <x:c r="E29" s="16" t="str">
        <x:v>Jharkhand</x:v>
      </x:c>
      <x:c r="F29" s="22" t="str"/>
      <x:c r="G29" s="16" t="str">
        <x:v>General Practice</x:v>
      </x:c>
      <x:c r="H29" s="16" t="str">
        <x:v>General Practice, Criminal Law</x:v>
      </x:c>
      <x:c r="I29" s="16" t="str">
        <x:v>Jharkhand High Court Legal Services Committee panel list</x:v>
      </x:c>
      <x:c r="J29" s="22" t="str">
        <x:v>https://nalsa.gov.in/</x:v>
      </x:c>
      <x:c r="K29" s="16" t="str">
        <x:v>turn269392search12</x:v>
      </x:c>
      <x:c r="L29" s="16" t="str">
        <x:v>Official legal-services panel list</x:v>
      </x:c>
      <x:c r="M29" s="16" t="str">
        <x:v>Official panel listing includes Civil, Criminal and MACT-type work.</x:v>
      </x:c>
      <x:c r="N29" s="17" t="b">
        <x:v>0</x:v>
      </x:c>
      <x:c r="O29" s="14" t="str">
        <x:v>Explicit / mapped specialization</x:v>
      </x:c>
      <x:c r="P29" s="14" t="str">
        <x:v>Local/state directory coverage</x:v>
      </x:c>
    </x:row>
    <x:row r="30" ht="42" customHeight="1">
      <x:c r="A30" s="16" t="str">
        <x:v>SL029</x:v>
      </x:c>
      <x:c r="B30" s="16" t="str">
        <x:v>Jharkhand</x:v>
      </x:c>
      <x:c r="C30" s="16" t="str">
        <x:v>State</x:v>
      </x:c>
      <x:c r="D30" s="16" t="str">
        <x:v>Nisha Thakur</x:v>
      </x:c>
      <x:c r="E30" s="16" t="str">
        <x:v>Jharkhand</x:v>
      </x:c>
      <x:c r="F30" s="22" t="str"/>
      <x:c r="G30" s="16" t="str">
        <x:v>Constitutional Law</x:v>
      </x:c>
      <x:c r="H30" s="16" t="str">
        <x:v>Constitutional Law, Property Rights, General Practice</x:v>
      </x:c>
      <x:c r="I30" s="16" t="str">
        <x:v>Jharkhand High Court Legal Services Committee panel list</x:v>
      </x:c>
      <x:c r="J30" s="22" t="str">
        <x:v>https://nalsa.gov.in/</x:v>
      </x:c>
      <x:c r="K30" s="16" t="str">
        <x:v>turn269392search12</x:v>
      </x:c>
      <x:c r="L30" s="16" t="str">
        <x:v>Official legal-services panel list</x:v>
      </x:c>
      <x:c r="M30" s="16" t="str">
        <x:v>Official panel listing includes Writ, Land Matters and Insurance.</x:v>
      </x:c>
      <x:c r="N30" s="17" t="b">
        <x:v>0</x:v>
      </x:c>
      <x:c r="O30" s="14" t="str">
        <x:v>Explicit / mapped specialization</x:v>
      </x:c>
      <x:c r="P30" s="14" t="str">
        <x:v>Local/state directory coverage</x:v>
      </x:c>
    </x:row>
    <x:row r="31" ht="42" customHeight="1">
      <x:c r="A31" s="16" t="str">
        <x:v>SL030</x:v>
      </x:c>
      <x:c r="B31" s="16" t="str">
        <x:v>Jharkhand</x:v>
      </x:c>
      <x:c r="C31" s="16" t="str">
        <x:v>State</x:v>
      </x:c>
      <x:c r="D31" s="16" t="str">
        <x:v>Rohit Ranjan Sinha</x:v>
      </x:c>
      <x:c r="E31" s="16" t="str">
        <x:v>Jharkhand</x:v>
      </x:c>
      <x:c r="F31" s="22" t="str"/>
      <x:c r="G31" s="16" t="str">
        <x:v>Criminal Law</x:v>
      </x:c>
      <x:c r="H31" s="16" t="str">
        <x:v>Criminal Law, Divorce &amp; Family Law, Property Rights, Tax Law, Employment Law, Consumer Protection, General Practice</x:v>
      </x:c>
      <x:c r="I31" s="16" t="str">
        <x:v>LawRato public advocate profile</x:v>
      </x:c>
      <x:c r="J31" s="22" t="str">
        <x:v>https://lawrato.com/</x:v>
      </x:c>
      <x:c r="K31" s="16" t="str">
        <x:v>turn617089search6</x:v>
      </x:c>
      <x:c r="L31" s="16" t="str">
        <x:v>Profile-reported practice / enrolment</x:v>
      </x:c>
      <x:c r="M31" s="16" t="str">
        <x:v>Profile lists criminal, family, property, banking/tax, labour/civil and consumer practice.</x:v>
      </x:c>
      <x:c r="N31" s="17" t="b">
        <x:v>0</x:v>
      </x:c>
      <x:c r="O31" s="14" t="str">
        <x:v>Explicit / mapped specialization</x:v>
      </x:c>
      <x:c r="P31" s="14" t="str">
        <x:v>Local/state directory coverage</x:v>
      </x:c>
    </x:row>
    <x:row r="32" ht="42" customHeight="1">
      <x:c r="A32" s="16" t="str">
        <x:v>SL031</x:v>
      </x:c>
      <x:c r="B32" s="16" t="str">
        <x:v>Karnataka</x:v>
      </x:c>
      <x:c r="C32" s="16" t="str">
        <x:v>State</x:v>
      </x:c>
      <x:c r="D32" s="16" t="str">
        <x:v>Shashikant P Kalal</x:v>
      </x:c>
      <x:c r="E32" s="16" t="str">
        <x:v>Koppal</x:v>
      </x:c>
      <x:c r="F32" s="22" t="str">
        <x:v>9880810220; 8123056035</x:v>
      </x:c>
      <x:c r="G32" s="16" t="str">
        <x:v>General Practice</x:v>
      </x:c>
      <x:c r="H32" s="16" t="str">
        <x:v>General Practice</x:v>
      </x:c>
      <x:c r="I32" s="16" t="str">
        <x:v>Free Law / De Jure public directory</x:v>
      </x:c>
      <x:c r="J32" s="22" t="str">
        <x:v>https://www.freelaw.in/advocates-in-karnataka-state</x:v>
      </x:c>
      <x:c r="K32" s="16" t="str">
        <x:v>turn166880search4</x:v>
      </x:c>
      <x:c r="L32" s="16" t="str">
        <x:v>Public directory listing</x:v>
      </x:c>
      <x:c r="M32" s="16" t="str">
        <x:v>Narrower specialization not shown in retrieved directory result.</x:v>
      </x:c>
      <x:c r="N32" s="17" t="b">
        <x:v>1</x:v>
      </x:c>
      <x:c r="O32" s="14" t="str">
        <x:v>Fallback / no narrower category in retrieved source</x:v>
      </x:c>
      <x:c r="P32" s="14" t="str">
        <x:v>Local/state directory coverage</x:v>
      </x:c>
    </x:row>
    <x:row r="33" ht="42" customHeight="1">
      <x:c r="A33" s="16" t="str">
        <x:v>SL032</x:v>
      </x:c>
      <x:c r="B33" s="16" t="str">
        <x:v>Karnataka</x:v>
      </x:c>
      <x:c r="C33" s="16" t="str">
        <x:v>State</x:v>
      </x:c>
      <x:c r="D33" s="16" t="str">
        <x:v>Sachin S</x:v>
      </x:c>
      <x:c r="E33" s="16" t="str">
        <x:v>Mysore</x:v>
      </x:c>
      <x:c r="F33" s="22" t="str">
        <x:v>9663699346</x:v>
      </x:c>
      <x:c r="G33" s="16" t="str">
        <x:v>General Practice</x:v>
      </x:c>
      <x:c r="H33" s="16" t="str">
        <x:v>General Practice</x:v>
      </x:c>
      <x:c r="I33" s="16" t="str">
        <x:v>Free Law / De Jure public directory</x:v>
      </x:c>
      <x:c r="J33" s="22" t="str">
        <x:v>https://www.freelaw.in/advocates-in-karnataka-state</x:v>
      </x:c>
      <x:c r="K33" s="16" t="str">
        <x:v>turn166880search4</x:v>
      </x:c>
      <x:c r="L33" s="16" t="str">
        <x:v>Public directory listing</x:v>
      </x:c>
      <x:c r="M33" s="16" t="str">
        <x:v>Narrower specialization not shown in retrieved directory result.</x:v>
      </x:c>
      <x:c r="N33" s="17" t="b">
        <x:v>1</x:v>
      </x:c>
      <x:c r="O33" s="14" t="str">
        <x:v>Fallback / no narrower category in retrieved source</x:v>
      </x:c>
      <x:c r="P33" s="14" t="str">
        <x:v>Local/state directory coverage</x:v>
      </x:c>
    </x:row>
    <x:row r="34" ht="42" customHeight="1">
      <x:c r="A34" s="16" t="str">
        <x:v>SL033</x:v>
      </x:c>
      <x:c r="B34" s="16" t="str">
        <x:v>Karnataka</x:v>
      </x:c>
      <x:c r="C34" s="16" t="str">
        <x:v>State</x:v>
      </x:c>
      <x:c r="D34" s="16" t="str">
        <x:v>Shashidhar Ashok Gayakawad</x:v>
      </x:c>
      <x:c r="E34" s="16" t="str">
        <x:v>Sindgi</x:v>
      </x:c>
      <x:c r="F34" s="22" t="str">
        <x:v>9743148457; 9854206777</x:v>
      </x:c>
      <x:c r="G34" s="16" t="str">
        <x:v>General Practice</x:v>
      </x:c>
      <x:c r="H34" s="16" t="str">
        <x:v>General Practice</x:v>
      </x:c>
      <x:c r="I34" s="16" t="str">
        <x:v>Free Law / De Jure public directory</x:v>
      </x:c>
      <x:c r="J34" s="22" t="str">
        <x:v>https://www.freelaw.in/advocates-in-karnataka-state</x:v>
      </x:c>
      <x:c r="K34" s="16" t="str">
        <x:v>turn166880search4</x:v>
      </x:c>
      <x:c r="L34" s="16" t="str">
        <x:v>Public directory listing</x:v>
      </x:c>
      <x:c r="M34" s="16" t="str">
        <x:v>Narrower specialization not shown in retrieved directory result.</x:v>
      </x:c>
      <x:c r="N34" s="17" t="b">
        <x:v>1</x:v>
      </x:c>
      <x:c r="O34" s="14" t="str">
        <x:v>Fallback / no narrower category in retrieved source</x:v>
      </x:c>
      <x:c r="P34" s="14" t="str">
        <x:v>Local/state directory coverage</x:v>
      </x:c>
    </x:row>
    <x:row r="35" ht="42" customHeight="1">
      <x:c r="A35" s="16" t="str">
        <x:v>SL034</x:v>
      </x:c>
      <x:c r="B35" s="16" t="str">
        <x:v>Kerala</x:v>
      </x:c>
      <x:c r="C35" s="16" t="str">
        <x:v>State</x:v>
      </x:c>
      <x:c r="D35" s="16" t="str">
        <x:v>David Varghese Thomas</x:v>
      </x:c>
      <x:c r="E35" s="16" t="str">
        <x:v>Thiruvananthapuram</x:v>
      </x:c>
      <x:c r="F35" s="22" t="str">
        <x:v>8281211744; 6282680577</x:v>
      </x:c>
      <x:c r="G35" s="16" t="str">
        <x:v>General Practice</x:v>
      </x:c>
      <x:c r="H35" s="16" t="str">
        <x:v>General Practice</x:v>
      </x:c>
      <x:c r="I35" s="16" t="str">
        <x:v>Free Law / De Jure public directory</x:v>
      </x:c>
      <x:c r="J35" s="22" t="str">
        <x:v>https://www.freelaw.in/advocates-in-kerala-state</x:v>
      </x:c>
      <x:c r="K35" s="16" t="str">
        <x:v>turn166880search8</x:v>
      </x:c>
      <x:c r="L35" s="16" t="str">
        <x:v>Public directory listing</x:v>
      </x:c>
      <x:c r="M35" s="16" t="str">
        <x:v>Narrower specialization not shown in retrieved directory result.</x:v>
      </x:c>
      <x:c r="N35" s="17" t="b">
        <x:v>1</x:v>
      </x:c>
      <x:c r="O35" s="14" t="str">
        <x:v>Fallback / no narrower category in retrieved source</x:v>
      </x:c>
      <x:c r="P35" s="14" t="str">
        <x:v>Local/state directory coverage</x:v>
      </x:c>
    </x:row>
    <x:row r="36" ht="42" customHeight="1">
      <x:c r="A36" s="16" t="str">
        <x:v>SL035</x:v>
      </x:c>
      <x:c r="B36" s="16" t="str">
        <x:v>Kerala</x:v>
      </x:c>
      <x:c r="C36" s="16" t="str">
        <x:v>State</x:v>
      </x:c>
      <x:c r="D36" s="16" t="str">
        <x:v>Air Vtrn Dr Anil Pillai FRMAI</x:v>
      </x:c>
      <x:c r="E36" s="16" t="str">
        <x:v>Kollam</x:v>
      </x:c>
      <x:c r="F36" s="22" t="str">
        <x:v>9349577778</x:v>
      </x:c>
      <x:c r="G36" s="16" t="str">
        <x:v>General Practice</x:v>
      </x:c>
      <x:c r="H36" s="16" t="str">
        <x:v>General Practice</x:v>
      </x:c>
      <x:c r="I36" s="16" t="str">
        <x:v>Free Law / De Jure public directory</x:v>
      </x:c>
      <x:c r="J36" s="22" t="str">
        <x:v>https://www.freelaw.in/advocates-in-kerala-state</x:v>
      </x:c>
      <x:c r="K36" s="16" t="str">
        <x:v>turn166880search8</x:v>
      </x:c>
      <x:c r="L36" s="16" t="str">
        <x:v>Public directory listing</x:v>
      </x:c>
      <x:c r="M36" s="16" t="str">
        <x:v>Narrower specialization not shown in retrieved directory result.</x:v>
      </x:c>
      <x:c r="N36" s="17" t="b">
        <x:v>1</x:v>
      </x:c>
      <x:c r="O36" s="14" t="str">
        <x:v>Fallback / no narrower category in retrieved source</x:v>
      </x:c>
      <x:c r="P36" s="14" t="str">
        <x:v>Local/state directory coverage</x:v>
      </x:c>
    </x:row>
    <x:row r="37" ht="42" customHeight="1">
      <x:c r="A37" s="16" t="str">
        <x:v>SL036</x:v>
      </x:c>
      <x:c r="B37" s="16" t="str">
        <x:v>Kerala</x:v>
      </x:c>
      <x:c r="C37" s="16" t="str">
        <x:v>State</x:v>
      </x:c>
      <x:c r="D37" s="16" t="str">
        <x:v>Hamdan Mansoor K</x:v>
      </x:c>
      <x:c r="E37" s="16" t="str">
        <x:v>Ernakulam</x:v>
      </x:c>
      <x:c r="F37" s="22" t="str">
        <x:v>8304886722</x:v>
      </x:c>
      <x:c r="G37" s="16" t="str">
        <x:v>General Practice</x:v>
      </x:c>
      <x:c r="H37" s="16" t="str">
        <x:v>General Practice</x:v>
      </x:c>
      <x:c r="I37" s="16" t="str">
        <x:v>Free Law / De Jure public directory</x:v>
      </x:c>
      <x:c r="J37" s="22" t="str">
        <x:v>https://www.freelaw.in/advocates-in-kerala-state</x:v>
      </x:c>
      <x:c r="K37" s="16" t="str">
        <x:v>turn166880search8</x:v>
      </x:c>
      <x:c r="L37" s="16" t="str">
        <x:v>Public directory listing</x:v>
      </x:c>
      <x:c r="M37" s="16" t="str">
        <x:v>Narrower specialization not shown in retrieved directory result.</x:v>
      </x:c>
      <x:c r="N37" s="17" t="b">
        <x:v>1</x:v>
      </x:c>
      <x:c r="O37" s="14" t="str">
        <x:v>Fallback / no narrower category in retrieved source</x:v>
      </x:c>
      <x:c r="P37" s="14" t="str">
        <x:v>Local/state directory coverage</x:v>
      </x:c>
    </x:row>
    <x:row r="38" ht="42" customHeight="1">
      <x:c r="A38" s="16" t="str">
        <x:v>SL037</x:v>
      </x:c>
      <x:c r="B38" s="16" t="str">
        <x:v>Madhya Pradesh</x:v>
      </x:c>
      <x:c r="C38" s="16" t="str">
        <x:v>State</x:v>
      </x:c>
      <x:c r="D38" s="16" t="str">
        <x:v>Durgesh Jatav</x:v>
      </x:c>
      <x:c r="E38" s="16" t="str">
        <x:v>Ashoknagar</x:v>
      </x:c>
      <x:c r="F38" s="22" t="str">
        <x:v>8839208646; 7879433144</x:v>
      </x:c>
      <x:c r="G38" s="16" t="str">
        <x:v>General Practice</x:v>
      </x:c>
      <x:c r="H38" s="16" t="str">
        <x:v>General Practice</x:v>
      </x:c>
      <x:c r="I38" s="16" t="str">
        <x:v>Free Law / De Jure public directory</x:v>
      </x:c>
      <x:c r="J38" s="22" t="str">
        <x:v>https://www.freelaw.in/advocates-in-madhya-pradesh-state</x:v>
      </x:c>
      <x:c r="K38" s="16" t="str">
        <x:v>turn166880search5</x:v>
      </x:c>
      <x:c r="L38" s="16" t="str">
        <x:v>Public directory listing</x:v>
      </x:c>
      <x:c r="M38" s="16" t="str">
        <x:v>Narrower specialization not shown in retrieved directory result.</x:v>
      </x:c>
      <x:c r="N38" s="17" t="b">
        <x:v>1</x:v>
      </x:c>
      <x:c r="O38" s="14" t="str">
        <x:v>Fallback / no narrower category in retrieved source</x:v>
      </x:c>
      <x:c r="P38" s="14" t="str">
        <x:v>Local/state directory coverage</x:v>
      </x:c>
    </x:row>
    <x:row r="39" ht="42" customHeight="1">
      <x:c r="A39" s="16" t="str">
        <x:v>SL038</x:v>
      </x:c>
      <x:c r="B39" s="16" t="str">
        <x:v>Madhya Pradesh</x:v>
      </x:c>
      <x:c r="C39" s="16" t="str">
        <x:v>State</x:v>
      </x:c>
      <x:c r="D39" s="16" t="str">
        <x:v>Adv. Ashok Kumar Pathekar</x:v>
      </x:c>
      <x:c r="E39" s="16" t="str">
        <x:v>Multai, Betul</x:v>
      </x:c>
      <x:c r="F39" s="22" t="str">
        <x:v>8225940789</x:v>
      </x:c>
      <x:c r="G39" s="16" t="str">
        <x:v>General Practice</x:v>
      </x:c>
      <x:c r="H39" s="16" t="str">
        <x:v>General Practice</x:v>
      </x:c>
      <x:c r="I39" s="16" t="str">
        <x:v>Free Law / De Jure public directory</x:v>
      </x:c>
      <x:c r="J39" s="22" t="str">
        <x:v>https://www.freelaw.in/advocates-in-madhya-pradesh-state</x:v>
      </x:c>
      <x:c r="K39" s="16" t="str">
        <x:v>turn166880search5</x:v>
      </x:c>
      <x:c r="L39" s="16" t="str">
        <x:v>Public directory listing</x:v>
      </x:c>
      <x:c r="M39" s="16" t="str">
        <x:v>Narrower specialization not shown in retrieved directory result.</x:v>
      </x:c>
      <x:c r="N39" s="17" t="b">
        <x:v>1</x:v>
      </x:c>
      <x:c r="O39" s="14" t="str">
        <x:v>Fallback / no narrower category in retrieved source</x:v>
      </x:c>
      <x:c r="P39" s="14" t="str">
        <x:v>Local/state directory coverage</x:v>
      </x:c>
    </x:row>
    <x:row r="40" ht="42" customHeight="1">
      <x:c r="A40" s="16" t="str">
        <x:v>SL039</x:v>
      </x:c>
      <x:c r="B40" s="16" t="str">
        <x:v>Madhya Pradesh</x:v>
      </x:c>
      <x:c r="C40" s="16" t="str">
        <x:v>State</x:v>
      </x:c>
      <x:c r="D40" s="16" t="str">
        <x:v>Prashant Jain</x:v>
      </x:c>
      <x:c r="E40" s="16" t="str">
        <x:v>Khargone</x:v>
      </x:c>
      <x:c r="F40" s="22" t="str">
        <x:v>8319425988</x:v>
      </x:c>
      <x:c r="G40" s="16" t="str">
        <x:v>Cyber Law</x:v>
      </x:c>
      <x:c r="H40" s="16" t="str">
        <x:v>Cyber Law</x:v>
      </x:c>
      <x:c r="I40" s="16" t="str">
        <x:v>Free Law / De Jure public directory</x:v>
      </x:c>
      <x:c r="J40" s="22" t="str">
        <x:v>https://www.freelaw.in/advocates-in-madhya-pradesh-state</x:v>
      </x:c>
      <x:c r="K40" s="16" t="str">
        <x:v>turn166880search5</x:v>
      </x:c>
      <x:c r="L40" s="16" t="str">
        <x:v>Public directory listing</x:v>
      </x:c>
      <x:c r="M40" s="16" t="str">
        <x:v>LLM in Cyber Security is explicitly shown; mapped to Cyber Law as a seed specialization, not a claim of exclusive practice.</x:v>
      </x:c>
      <x:c r="N40" s="17" t="b">
        <x:v>1</x:v>
      </x:c>
      <x:c r="O40" s="14" t="str">
        <x:v>Explicit / mapped specialization</x:v>
      </x:c>
      <x:c r="P40" s="14" t="str">
        <x:v>Local/state directory coverage</x:v>
      </x:c>
    </x:row>
    <x:row r="41" ht="42" customHeight="1">
      <x:c r="A41" s="16" t="str">
        <x:v>SL040</x:v>
      </x:c>
      <x:c r="B41" s="16" t="str">
        <x:v>Maharashtra</x:v>
      </x:c>
      <x:c r="C41" s="16" t="str">
        <x:v>State</x:v>
      </x:c>
      <x:c r="D41" s="16" t="str">
        <x:v>Misbah Farook Lakdawala</x:v>
      </x:c>
      <x:c r="E41" s="16" t="str">
        <x:v>Thane</x:v>
      </x:c>
      <x:c r="F41" s="22" t="str">
        <x:v>9004896786</x:v>
      </x:c>
      <x:c r="G41" s="16" t="str">
        <x:v>General Practice</x:v>
      </x:c>
      <x:c r="H41" s="16" t="str">
        <x:v>General Practice</x:v>
      </x:c>
      <x:c r="I41" s="16" t="str">
        <x:v>Free Law / De Jure public directory</x:v>
      </x:c>
      <x:c r="J41" s="22" t="str">
        <x:v>https://www.freelaw.in/advocates-in-maharashtra-state</x:v>
      </x:c>
      <x:c r="K41" s="16" t="str">
        <x:v>turn166880search3</x:v>
      </x:c>
      <x:c r="L41" s="16" t="str">
        <x:v>Public directory listing</x:v>
      </x:c>
      <x:c r="M41" s="16" t="str">
        <x:v>Narrower specialization not shown in retrieved directory result.</x:v>
      </x:c>
      <x:c r="N41" s="17" t="b">
        <x:v>1</x:v>
      </x:c>
      <x:c r="O41" s="14" t="str">
        <x:v>Fallback / no narrower category in retrieved source</x:v>
      </x:c>
      <x:c r="P41" s="14" t="str">
        <x:v>Local/state directory coverage</x:v>
      </x:c>
    </x:row>
    <x:row r="42" ht="42" customHeight="1">
      <x:c r="A42" s="16" t="str">
        <x:v>SL041</x:v>
      </x:c>
      <x:c r="B42" s="16" t="str">
        <x:v>Maharashtra</x:v>
      </x:c>
      <x:c r="C42" s="16" t="str">
        <x:v>State</x:v>
      </x:c>
      <x:c r="D42" s="16" t="str">
        <x:v>Simerpreet Singh Chabra</x:v>
      </x:c>
      <x:c r="E42" s="16" t="str">
        <x:v>Vasai, Palghar</x:v>
      </x:c>
      <x:c r="F42" s="22" t="str">
        <x:v>9503282754</x:v>
      </x:c>
      <x:c r="G42" s="16" t="str">
        <x:v>General Practice</x:v>
      </x:c>
      <x:c r="H42" s="16" t="str">
        <x:v>General Practice</x:v>
      </x:c>
      <x:c r="I42" s="16" t="str">
        <x:v>Free Law / De Jure public directory</x:v>
      </x:c>
      <x:c r="J42" s="22" t="str">
        <x:v>https://www.freelaw.in/advocates-in-maharashtra-state</x:v>
      </x:c>
      <x:c r="K42" s="16" t="str">
        <x:v>turn166880search3</x:v>
      </x:c>
      <x:c r="L42" s="16" t="str">
        <x:v>Public directory listing</x:v>
      </x:c>
      <x:c r="M42" s="16" t="str">
        <x:v>Directory lists family courts among practice forums; mapped to General Practice because the exact app specialization is not explicit.</x:v>
      </x:c>
      <x:c r="N42" s="17" t="b">
        <x:v>1</x:v>
      </x:c>
      <x:c r="O42" s="14" t="str">
        <x:v>Fallback / no narrower category in retrieved source</x:v>
      </x:c>
      <x:c r="P42" s="14" t="str">
        <x:v>Local/state directory coverage</x:v>
      </x:c>
    </x:row>
    <x:row r="43" ht="42" customHeight="1">
      <x:c r="A43" s="16" t="str">
        <x:v>SL042</x:v>
      </x:c>
      <x:c r="B43" s="16" t="str">
        <x:v>Maharashtra</x:v>
      </x:c>
      <x:c r="C43" s="16" t="str">
        <x:v>State</x:v>
      </x:c>
      <x:c r="D43" s="16" t="str">
        <x:v>A A DHOND</x:v>
      </x:c>
      <x:c r="E43" s="16" t="str">
        <x:v>Mumbai Suburban</x:v>
      </x:c>
      <x:c r="F43" s="22" t="str">
        <x:v>9869113155; 9021059771</x:v>
      </x:c>
      <x:c r="G43" s="16" t="str">
        <x:v>General Practice</x:v>
      </x:c>
      <x:c r="H43" s="16" t="str">
        <x:v>General Practice</x:v>
      </x:c>
      <x:c r="I43" s="16" t="str">
        <x:v>Free Law / De Jure public directory</x:v>
      </x:c>
      <x:c r="J43" s="22" t="str">
        <x:v>https://www.freelaw.in/advocates-in-maharashtra-state</x:v>
      </x:c>
      <x:c r="K43" s="16" t="str">
        <x:v>turn166880search3</x:v>
      </x:c>
      <x:c r="L43" s="16" t="str">
        <x:v>Public directory listing</x:v>
      </x:c>
      <x:c r="M43" s="16" t="str">
        <x:v>Narrower specialization not shown in retrieved directory result.</x:v>
      </x:c>
      <x:c r="N43" s="17" t="b">
        <x:v>1</x:v>
      </x:c>
      <x:c r="O43" s="14" t="str">
        <x:v>Fallback / no narrower category in retrieved source</x:v>
      </x:c>
      <x:c r="P43" s="14" t="str">
        <x:v>Local/state directory coverage</x:v>
      </x:c>
    </x:row>
    <x:row r="44" ht="42" customHeight="1">
      <x:c r="A44" s="16" t="str">
        <x:v>SL043</x:v>
      </x:c>
      <x:c r="B44" s="16" t="str">
        <x:v>Manipur</x:v>
      </x:c>
      <x:c r="C44" s="16" t="str">
        <x:v>State</x:v>
      </x:c>
      <x:c r="D44" s="16" t="str">
        <x:v>Chanamthabam Nimbus Roy</x:v>
      </x:c>
      <x:c r="E44" s="16" t="str">
        <x:v>Imphal West</x:v>
      </x:c>
      <x:c r="F44" s="22" t="str">
        <x:v>8787493634</x:v>
      </x:c>
      <x:c r="G44" s="16" t="str">
        <x:v>General Practice</x:v>
      </x:c>
      <x:c r="H44" s="16" t="str">
        <x:v>General Practice</x:v>
      </x:c>
      <x:c r="I44" s="16" t="str">
        <x:v>Free Law / De Jure public directory</x:v>
      </x:c>
      <x:c r="J44" s="22" t="str">
        <x:v>https://www.freelaw.in/advocates-in-manipur-state</x:v>
      </x:c>
      <x:c r="K44" s="16" t="str">
        <x:v>turn439950view1</x:v>
      </x:c>
      <x:c r="L44" s="16" t="str">
        <x:v>Public directory listing</x:v>
      </x:c>
      <x:c r="M44" s="16" t="str">
        <x:v>Narrower specialization not shown in retrieved directory result.</x:v>
      </x:c>
      <x:c r="N44" s="17" t="b">
        <x:v>1</x:v>
      </x:c>
      <x:c r="O44" s="14" t="str">
        <x:v>Fallback / no narrower category in retrieved source</x:v>
      </x:c>
      <x:c r="P44" s="14" t="str">
        <x:v>Local/state directory coverage</x:v>
      </x:c>
    </x:row>
    <x:row r="45" ht="42" customHeight="1">
      <x:c r="A45" s="16" t="str">
        <x:v>SL044</x:v>
      </x:c>
      <x:c r="B45" s="16" t="str">
        <x:v>Manipur</x:v>
      </x:c>
      <x:c r="C45" s="16" t="str">
        <x:v>State</x:v>
      </x:c>
      <x:c r="D45" s="16" t="str">
        <x:v>Leishangthem Lamyanba Meitei</x:v>
      </x:c>
      <x:c r="E45" s="16" t="str">
        <x:v>Thoubal</x:v>
      </x:c>
      <x:c r="F45" s="22" t="str">
        <x:v>9856660548</x:v>
      </x:c>
      <x:c r="G45" s="16" t="str">
        <x:v>General Practice</x:v>
      </x:c>
      <x:c r="H45" s="16" t="str">
        <x:v>General Practice</x:v>
      </x:c>
      <x:c r="I45" s="16" t="str">
        <x:v>Free Law / De Jure public directory</x:v>
      </x:c>
      <x:c r="J45" s="22" t="str">
        <x:v>https://www.freelaw.in/advocates-in-manipur-state</x:v>
      </x:c>
      <x:c r="K45" s="16" t="str">
        <x:v>turn439950view1</x:v>
      </x:c>
      <x:c r="L45" s="16" t="str">
        <x:v>Public directory listing</x:v>
      </x:c>
      <x:c r="M45" s="16" t="str">
        <x:v>Narrower specialization not shown in retrieved directory result.</x:v>
      </x:c>
      <x:c r="N45" s="17" t="b">
        <x:v>1</x:v>
      </x:c>
      <x:c r="O45" s="14" t="str">
        <x:v>Fallback / no narrower category in retrieved source</x:v>
      </x:c>
      <x:c r="P45" s="14" t="str">
        <x:v>Local/state directory coverage</x:v>
      </x:c>
    </x:row>
    <x:row r="46" ht="42" customHeight="1">
      <x:c r="A46" s="16" t="str">
        <x:v>SL045</x:v>
      </x:c>
      <x:c r="B46" s="16" t="str">
        <x:v>Manipur</x:v>
      </x:c>
      <x:c r="C46" s="16" t="str">
        <x:v>State</x:v>
      </x:c>
      <x:c r="D46" s="16" t="str">
        <x:v>Taibangsatpa Laishram</x:v>
      </x:c>
      <x:c r="E46" s="16" t="str">
        <x:v>Imphal</x:v>
      </x:c>
      <x:c r="F46" s="22" t="str">
        <x:v>9774465306; 9362329011</x:v>
      </x:c>
      <x:c r="G46" s="16" t="str">
        <x:v>General Practice</x:v>
      </x:c>
      <x:c r="H46" s="16" t="str">
        <x:v>General Practice</x:v>
      </x:c>
      <x:c r="I46" s="16" t="str">
        <x:v>Free Law / De Jure public directory</x:v>
      </x:c>
      <x:c r="J46" s="22" t="str">
        <x:v>https://www.freelaw.in/advocates-in-manipur-state</x:v>
      </x:c>
      <x:c r="K46" s="16" t="str">
        <x:v>turn439950view1</x:v>
      </x:c>
      <x:c r="L46" s="16" t="str">
        <x:v>Public directory listing</x:v>
      </x:c>
      <x:c r="M46" s="16" t="str">
        <x:v>Narrower specialization not shown in retrieved directory result.</x:v>
      </x:c>
      <x:c r="N46" s="17" t="b">
        <x:v>1</x:v>
      </x:c>
      <x:c r="O46" s="14" t="str">
        <x:v>Fallback / no narrower category in retrieved source</x:v>
      </x:c>
      <x:c r="P46" s="14" t="str">
        <x:v>Local/state directory coverage</x:v>
      </x:c>
    </x:row>
    <x:row r="47" ht="42" customHeight="1">
      <x:c r="A47" s="16" t="str">
        <x:v>SL046</x:v>
      </x:c>
      <x:c r="B47" s="16" t="str">
        <x:v>Meghalaya</x:v>
      </x:c>
      <x:c r="C47" s="16" t="str">
        <x:v>State</x:v>
      </x:c>
      <x:c r="D47" s="16" t="str">
        <x:v>Samudragupta Dutta</x:v>
      </x:c>
      <x:c r="E47" s="16" t="str">
        <x:v>Guwahati / North-East practice coverage</x:v>
      </x:c>
      <x:c r="F47" s="22" t="str"/>
      <x:c r="G47" s="16" t="str">
        <x:v>General Practice</x:v>
      </x:c>
      <x:c r="H47" s="16" t="str">
        <x:v>General Practice, Property Rights, Employment Law, Intellectual Property, Consumer Protection, Divorce &amp; Family Law</x:v>
      </x:c>
      <x:c r="I47" s="16" t="str">
        <x:v>LawRato public advocate profile</x:v>
      </x:c>
      <x:c r="J47" s="22" t="str">
        <x:v>https://lawrato.com/</x:v>
      </x:c>
      <x:c r="K47" s="16" t="str">
        <x:v>turn264673search11</x:v>
      </x:c>
      <x:c r="L47" s="16" t="str">
        <x:v>Profile-reported practice / enrolment</x:v>
      </x:c>
      <x:c r="M47" s="16" t="str">
        <x:v>Cross-enrolment basis: profile states enrolment with the Meghalaya State Bar Council; location shown is outside Meghalaya in the retrieved profile.</x:v>
      </x:c>
      <x:c r="N47" s="17" t="b">
        <x:v>0</x:v>
      </x:c>
      <x:c r="O47" s="14" t="str">
        <x:v>Explicit / mapped specialization</x:v>
      </x:c>
      <x:c r="P47" s="14" t="str">
        <x:v>State Bar Council enrolment coverage; profile location may be outside this state</x:v>
      </x:c>
    </x:row>
    <x:row r="48" ht="42" customHeight="1">
      <x:c r="A48" s="16" t="str">
        <x:v>SL047</x:v>
      </x:c>
      <x:c r="B48" s="16" t="str">
        <x:v>Meghalaya</x:v>
      </x:c>
      <x:c r="C48" s="16" t="str">
        <x:v>State</x:v>
      </x:c>
      <x:c r="D48" s="16" t="str">
        <x:v>Bidhayak Acharyya</x:v>
      </x:c>
      <x:c r="E48" s="16" t="str">
        <x:v>Guwahati / North-East practice coverage</x:v>
      </x:c>
      <x:c r="F48" s="22" t="str"/>
      <x:c r="G48" s="16" t="str">
        <x:v>General Practice</x:v>
      </x:c>
      <x:c r="H48" s="16" t="str">
        <x:v>General Practice, Criminal Law, Corporate Law, Property Rights, Consumer Protection, Constitutional Law</x:v>
      </x:c>
      <x:c r="I48" s="16" t="str">
        <x:v>LawRato public advocate profile</x:v>
      </x:c>
      <x:c r="J48" s="22" t="str">
        <x:v>https://lawrato.com/</x:v>
      </x:c>
      <x:c r="K48" s="16" t="str">
        <x:v>turn264673search3</x:v>
      </x:c>
      <x:c r="L48" s="16" t="str">
        <x:v>Profile-reported practice / enrolment</x:v>
      </x:c>
      <x:c r="M48" s="16" t="str">
        <x:v>Cross-enrolment basis: profile states enrolment with the Meghalaya State Bar Council; location shown is outside Meghalaya in the retrieved profile.</x:v>
      </x:c>
      <x:c r="N48" s="17" t="b">
        <x:v>0</x:v>
      </x:c>
      <x:c r="O48" s="14" t="str">
        <x:v>Explicit / mapped specialization</x:v>
      </x:c>
      <x:c r="P48" s="14" t="str">
        <x:v>State Bar Council enrolment coverage; profile location may be outside this state</x:v>
      </x:c>
    </x:row>
    <x:row r="49" ht="42" customHeight="1">
      <x:c r="A49" s="16" t="str">
        <x:v>SL048</x:v>
      </x:c>
      <x:c r="B49" s="16" t="str">
        <x:v>Meghalaya</x:v>
      </x:c>
      <x:c r="C49" s="16" t="str">
        <x:v>State</x:v>
      </x:c>
      <x:c r="D49" s="16" t="str">
        <x:v>Shafiqul Haque</x:v>
      </x:c>
      <x:c r="E49" s="16" t="str">
        <x:v>Guwahati / North-East practice coverage</x:v>
      </x:c>
      <x:c r="F49" s="22" t="str"/>
      <x:c r="G49" s="16" t="str">
        <x:v>Criminal Law</x:v>
      </x:c>
      <x:c r="H49" s="16" t="str">
        <x:v>Criminal Law, Divorce &amp; Family Law, Property Rights, Corporate Law, General Practice</x:v>
      </x:c>
      <x:c r="I49" s="16" t="str">
        <x:v>LawRato public advocate profile</x:v>
      </x:c>
      <x:c r="J49" s="22" t="str">
        <x:v>https://lawrato.com/</x:v>
      </x:c>
      <x:c r="K49" s="16" t="str">
        <x:v>turn264673search8</x:v>
      </x:c>
      <x:c r="L49" s="16" t="str">
        <x:v>Profile-reported practice / enrolment</x:v>
      </x:c>
      <x:c r="M49" s="16" t="str">
        <x:v>Cross-enrolment basis: profile states enrolment with the Meghalaya State Bar Council; location shown is outside Meghalaya in the retrieved profile.</x:v>
      </x:c>
      <x:c r="N49" s="17" t="b">
        <x:v>0</x:v>
      </x:c>
      <x:c r="O49" s="14" t="str">
        <x:v>Explicit / mapped specialization</x:v>
      </x:c>
      <x:c r="P49" s="14" t="str">
        <x:v>State Bar Council enrolment coverage; profile location may be outside this state</x:v>
      </x:c>
    </x:row>
    <x:row r="50" ht="42" customHeight="1">
      <x:c r="A50" s="16" t="str">
        <x:v>SL049</x:v>
      </x:c>
      <x:c r="B50" s="16" t="str">
        <x:v>Mizoram</x:v>
      </x:c>
      <x:c r="C50" s="16" t="str">
        <x:v>State</x:v>
      </x:c>
      <x:c r="D50" s="16" t="str">
        <x:v>Samudragupta Dutta</x:v>
      </x:c>
      <x:c r="E50" s="16" t="str">
        <x:v>North-East practice coverage</x:v>
      </x:c>
      <x:c r="F50" s="22" t="str"/>
      <x:c r="G50" s="16" t="str">
        <x:v>General Practice</x:v>
      </x:c>
      <x:c r="H50" s="16" t="str">
        <x:v>General Practice, Property Rights, Employment Law, Intellectual Property, Consumer Protection, Divorce &amp; Family Law</x:v>
      </x:c>
      <x:c r="I50" s="16" t="str">
        <x:v>LawRato public advocate profile</x:v>
      </x:c>
      <x:c r="J50" s="22" t="str">
        <x:v>https://lawrato.com/</x:v>
      </x:c>
      <x:c r="K50" s="16" t="str">
        <x:v>turn264673search11</x:v>
      </x:c>
      <x:c r="L50" s="16" t="str">
        <x:v>Profile-reported practice / enrolment</x:v>
      </x:c>
      <x:c r="M50" s="16" t="str">
        <x:v>Cross-enrolment basis: profile states enrolment with the Mizoram State Bar Council; location shown is outside Mizoram in the retrieved profile.</x:v>
      </x:c>
      <x:c r="N50" s="17" t="b">
        <x:v>0</x:v>
      </x:c>
      <x:c r="O50" s="14" t="str">
        <x:v>Explicit / mapped specialization</x:v>
      </x:c>
      <x:c r="P50" s="14" t="str">
        <x:v>State Bar Council enrolment coverage; profile location may be outside this state</x:v>
      </x:c>
    </x:row>
    <x:row r="51" ht="42" customHeight="1">
      <x:c r="A51" s="16" t="str">
        <x:v>SL050</x:v>
      </x:c>
      <x:c r="B51" s="16" t="str">
        <x:v>Mizoram</x:v>
      </x:c>
      <x:c r="C51" s="16" t="str">
        <x:v>State</x:v>
      </x:c>
      <x:c r="D51" s="16" t="str">
        <x:v>Shantanu Sarma</x:v>
      </x:c>
      <x:c r="E51" s="16" t="str">
        <x:v>North-East practice coverage</x:v>
      </x:c>
      <x:c r="F51" s="22" t="str"/>
      <x:c r="G51" s="16" t="str">
        <x:v>Corporate Law</x:v>
      </x:c>
      <x:c r="H51" s="16" t="str">
        <x:v>Corporate Law, Tax Law, Criminal Law, Property Rights</x:v>
      </x:c>
      <x:c r="I51" s="16" t="str">
        <x:v>LawRato public advocate profile</x:v>
      </x:c>
      <x:c r="J51" s="22" t="str">
        <x:v>https://lawrato.com/</x:v>
      </x:c>
      <x:c r="K51" s="16" t="str">
        <x:v>turn264673search9</x:v>
      </x:c>
      <x:c r="L51" s="16" t="str">
        <x:v>Profile-reported practice / enrolment</x:v>
      </x:c>
      <x:c r="M51" s="16" t="str">
        <x:v>Cross-enrolment basis: profile states enrolment with the Mizoram State Bar Council; location shown is outside Mizoram in the retrieved profile.</x:v>
      </x:c>
      <x:c r="N51" s="17" t="b">
        <x:v>0</x:v>
      </x:c>
      <x:c r="O51" s="14" t="str">
        <x:v>Explicit / mapped specialization</x:v>
      </x:c>
      <x:c r="P51" s="14" t="str">
        <x:v>State Bar Council enrolment coverage; profile location may be outside this state</x:v>
      </x:c>
    </x:row>
    <x:row r="52" ht="42" customHeight="1">
      <x:c r="A52" s="16" t="str">
        <x:v>SL051</x:v>
      </x:c>
      <x:c r="B52" s="16" t="str">
        <x:v>Mizoram</x:v>
      </x:c>
      <x:c r="C52" s="16" t="str">
        <x:v>State</x:v>
      </x:c>
      <x:c r="D52" s="16" t="str">
        <x:v>Firoz Raza Ansari</x:v>
      </x:c>
      <x:c r="E52" s="16" t="str">
        <x:v>North-East practice coverage</x:v>
      </x:c>
      <x:c r="F52" s="22" t="str"/>
      <x:c r="G52" s="16" t="str">
        <x:v>Criminal Law</x:v>
      </x:c>
      <x:c r="H52" s="16" t="str">
        <x:v>Criminal Law, Divorce &amp; Family Law, Property Rights, Consumer Protection, Corporate Law</x:v>
      </x:c>
      <x:c r="I52" s="16" t="str">
        <x:v>LawRato public advocate profile</x:v>
      </x:c>
      <x:c r="J52" s="22" t="str">
        <x:v>https://lawrato.com/</x:v>
      </x:c>
      <x:c r="K52" s="16" t="str">
        <x:v>turn264673search7</x:v>
      </x:c>
      <x:c r="L52" s="16" t="str">
        <x:v>Profile-reported practice / enrolment</x:v>
      </x:c>
      <x:c r="M52" s="16" t="str">
        <x:v>Cross-enrolment basis: profile states enrolment with the Mizoram State Bar Council; location shown is outside Mizoram in the retrieved profile.</x:v>
      </x:c>
      <x:c r="N52" s="17" t="b">
        <x:v>0</x:v>
      </x:c>
      <x:c r="O52" s="14" t="str">
        <x:v>Explicit / mapped specialization</x:v>
      </x:c>
      <x:c r="P52" s="14" t="str">
        <x:v>State Bar Council enrolment coverage; profile location may be outside this state</x:v>
      </x:c>
    </x:row>
    <x:row r="53" ht="42" customHeight="1">
      <x:c r="A53" s="16" t="str">
        <x:v>SL052</x:v>
      </x:c>
      <x:c r="B53" s="16" t="str">
        <x:v>Nagaland</x:v>
      </x:c>
      <x:c r="C53" s="16" t="str">
        <x:v>State</x:v>
      </x:c>
      <x:c r="D53" s="16" t="str">
        <x:v>Bidhayak Acharyya</x:v>
      </x:c>
      <x:c r="E53" s="16" t="str">
        <x:v>North-East practice coverage</x:v>
      </x:c>
      <x:c r="F53" s="22" t="str"/>
      <x:c r="G53" s="16" t="str">
        <x:v>General Practice</x:v>
      </x:c>
      <x:c r="H53" s="16" t="str">
        <x:v>General Practice, Criminal Law, Corporate Law, Property Rights, Consumer Protection, Constitutional Law</x:v>
      </x:c>
      <x:c r="I53" s="16" t="str">
        <x:v>LawRato public advocate profile</x:v>
      </x:c>
      <x:c r="J53" s="22" t="str">
        <x:v>https://lawrato.com/</x:v>
      </x:c>
      <x:c r="K53" s="16" t="str">
        <x:v>turn264673search3</x:v>
      </x:c>
      <x:c r="L53" s="16" t="str">
        <x:v>Profile-reported practice / enrolment</x:v>
      </x:c>
      <x:c r="M53" s="16" t="str">
        <x:v>Cross-enrolment basis: profile states enrolment with the Nagaland State Bar Council; location shown is outside Nagaland in the retrieved profile.</x:v>
      </x:c>
      <x:c r="N53" s="17" t="b">
        <x:v>0</x:v>
      </x:c>
      <x:c r="O53" s="14" t="str">
        <x:v>Explicit / mapped specialization</x:v>
      </x:c>
      <x:c r="P53" s="14" t="str">
        <x:v>State Bar Council enrolment coverage; profile location may be outside this state</x:v>
      </x:c>
    </x:row>
    <x:row r="54" ht="42" customHeight="1">
      <x:c r="A54" s="16" t="str">
        <x:v>SL053</x:v>
      </x:c>
      <x:c r="B54" s="16" t="str">
        <x:v>Nagaland</x:v>
      </x:c>
      <x:c r="C54" s="16" t="str">
        <x:v>State</x:v>
      </x:c>
      <x:c r="D54" s="16" t="str">
        <x:v>Shafiqul Haque</x:v>
      </x:c>
      <x:c r="E54" s="16" t="str">
        <x:v>North-East practice coverage</x:v>
      </x:c>
      <x:c r="F54" s="22" t="str"/>
      <x:c r="G54" s="16" t="str">
        <x:v>Criminal Law</x:v>
      </x:c>
      <x:c r="H54" s="16" t="str">
        <x:v>Criminal Law, Divorce &amp; Family Law, Property Rights, Corporate Law, General Practice</x:v>
      </x:c>
      <x:c r="I54" s="16" t="str">
        <x:v>LawRato public advocate profile</x:v>
      </x:c>
      <x:c r="J54" s="22" t="str">
        <x:v>https://lawrato.com/</x:v>
      </x:c>
      <x:c r="K54" s="16" t="str">
        <x:v>turn264673search8</x:v>
      </x:c>
      <x:c r="L54" s="16" t="str">
        <x:v>Profile-reported practice / enrolment</x:v>
      </x:c>
      <x:c r="M54" s="16" t="str">
        <x:v>Cross-enrolment basis: profile states enrolment with the Nagaland State Bar Council; location shown is outside Nagaland in the retrieved profile.</x:v>
      </x:c>
      <x:c r="N54" s="17" t="b">
        <x:v>0</x:v>
      </x:c>
      <x:c r="O54" s="14" t="str">
        <x:v>Explicit / mapped specialization</x:v>
      </x:c>
      <x:c r="P54" s="14" t="str">
        <x:v>State Bar Council enrolment coverage; profile location may be outside this state</x:v>
      </x:c>
    </x:row>
    <x:row r="55" ht="42" customHeight="1">
      <x:c r="A55" s="16" t="str">
        <x:v>SL054</x:v>
      </x:c>
      <x:c r="B55" s="16" t="str">
        <x:v>Nagaland</x:v>
      </x:c>
      <x:c r="C55" s="16" t="str">
        <x:v>State</x:v>
      </x:c>
      <x:c r="D55" s="16" t="str">
        <x:v>Shantanu Sarma</x:v>
      </x:c>
      <x:c r="E55" s="16" t="str">
        <x:v>North-East practice coverage</x:v>
      </x:c>
      <x:c r="F55" s="22" t="str"/>
      <x:c r="G55" s="16" t="str">
        <x:v>Corporate Law</x:v>
      </x:c>
      <x:c r="H55" s="16" t="str">
        <x:v>Corporate Law, Tax Law, Criminal Law, Property Rights</x:v>
      </x:c>
      <x:c r="I55" s="16" t="str">
        <x:v>LawRato public advocate profile</x:v>
      </x:c>
      <x:c r="J55" s="22" t="str">
        <x:v>https://lawrato.com/</x:v>
      </x:c>
      <x:c r="K55" s="16" t="str">
        <x:v>turn264673search9</x:v>
      </x:c>
      <x:c r="L55" s="16" t="str">
        <x:v>Profile-reported practice / enrolment</x:v>
      </x:c>
      <x:c r="M55" s="16" t="str">
        <x:v>Cross-enrolment basis: profile states enrolment with the Nagaland State Bar Council; location shown is outside Nagaland in the retrieved profile.</x:v>
      </x:c>
      <x:c r="N55" s="17" t="b">
        <x:v>0</x:v>
      </x:c>
      <x:c r="O55" s="14" t="str">
        <x:v>Explicit / mapped specialization</x:v>
      </x:c>
      <x:c r="P55" s="14" t="str">
        <x:v>State Bar Council enrolment coverage; profile location may be outside this state</x:v>
      </x:c>
    </x:row>
    <x:row r="56" ht="42" customHeight="1">
      <x:c r="A56" s="16" t="str">
        <x:v>SL055</x:v>
      </x:c>
      <x:c r="B56" s="16" t="str">
        <x:v>Odisha</x:v>
      </x:c>
      <x:c r="C56" s="16" t="str">
        <x:v>State</x:v>
      </x:c>
      <x:c r="D56" s="16" t="str">
        <x:v>Kalyani Naik</x:v>
      </x:c>
      <x:c r="E56" s="16" t="str">
        <x:v>Dharamgarh, Kalahandi</x:v>
      </x:c>
      <x:c r="F56" s="22" t="str">
        <x:v>8917414914</x:v>
      </x:c>
      <x:c r="G56" s="16" t="str">
        <x:v>General Practice</x:v>
      </x:c>
      <x:c r="H56" s="16" t="str">
        <x:v>General Practice</x:v>
      </x:c>
      <x:c r="I56" s="16" t="str">
        <x:v>Free Law / De Jure public directory</x:v>
      </x:c>
      <x:c r="J56" s="22" t="str">
        <x:v>https://www.freelaw.in/advocates-in-odisha-state</x:v>
      </x:c>
      <x:c r="K56" s="16" t="str">
        <x:v>turn166880search1</x:v>
      </x:c>
      <x:c r="L56" s="16" t="str">
        <x:v>Public directory listing</x:v>
      </x:c>
      <x:c r="M56" s="16" t="str">
        <x:v>Narrower specialization not shown in retrieved directory result.</x:v>
      </x:c>
      <x:c r="N56" s="17" t="b">
        <x:v>1</x:v>
      </x:c>
      <x:c r="O56" s="14" t="str">
        <x:v>Fallback / no narrower category in retrieved source</x:v>
      </x:c>
      <x:c r="P56" s="14" t="str">
        <x:v>Local/state directory coverage</x:v>
      </x:c>
    </x:row>
    <x:row r="57" ht="42" customHeight="1">
      <x:c r="A57" s="16" t="str">
        <x:v>SL056</x:v>
      </x:c>
      <x:c r="B57" s="16" t="str">
        <x:v>Odisha</x:v>
      </x:c>
      <x:c r="C57" s="16" t="str">
        <x:v>State</x:v>
      </x:c>
      <x:c r="D57" s="16" t="str">
        <x:v>B Chineya Rao</x:v>
      </x:c>
      <x:c r="E57" s="16" t="str">
        <x:v>Bhubaneswar</x:v>
      </x:c>
      <x:c r="F57" s="22" t="str">
        <x:v>7978342949; 8598939093</x:v>
      </x:c>
      <x:c r="G57" s="16" t="str">
        <x:v>General Practice</x:v>
      </x:c>
      <x:c r="H57" s="16" t="str">
        <x:v>General Practice</x:v>
      </x:c>
      <x:c r="I57" s="16" t="str">
        <x:v>Free Law / De Jure public directory</x:v>
      </x:c>
      <x:c r="J57" s="22" t="str">
        <x:v>https://www.freelaw.in/advocates-in-odisha-state</x:v>
      </x:c>
      <x:c r="K57" s="16" t="str">
        <x:v>turn166880search1</x:v>
      </x:c>
      <x:c r="L57" s="16" t="str">
        <x:v>Public directory listing</x:v>
      </x:c>
      <x:c r="M57" s="16" t="str">
        <x:v>Narrower specialization not shown in retrieved directory result.</x:v>
      </x:c>
      <x:c r="N57" s="17" t="b">
        <x:v>1</x:v>
      </x:c>
      <x:c r="O57" s="14" t="str">
        <x:v>Fallback / no narrower category in retrieved source</x:v>
      </x:c>
      <x:c r="P57" s="14" t="str">
        <x:v>Local/state directory coverage</x:v>
      </x:c>
    </x:row>
    <x:row r="58" ht="42" customHeight="1">
      <x:c r="A58" s="16" t="str">
        <x:v>SL057</x:v>
      </x:c>
      <x:c r="B58" s="16" t="str">
        <x:v>Odisha</x:v>
      </x:c>
      <x:c r="C58" s="16" t="str">
        <x:v>State</x:v>
      </x:c>
      <x:c r="D58" s="16" t="str">
        <x:v>GAUTAM BUDHA SINGH SAMANT</x:v>
      </x:c>
      <x:c r="E58" s="16" t="str">
        <x:v>Bhubaneswar</x:v>
      </x:c>
      <x:c r="F58" s="22" t="str">
        <x:v>7978117604; 9583337604</x:v>
      </x:c>
      <x:c r="G58" s="16" t="str">
        <x:v>General Practice</x:v>
      </x:c>
      <x:c r="H58" s="16" t="str">
        <x:v>General Practice</x:v>
      </x:c>
      <x:c r="I58" s="16" t="str">
        <x:v>Free Law / De Jure public directory</x:v>
      </x:c>
      <x:c r="J58" s="22" t="str">
        <x:v>https://www.freelaw.in/advocates-in-odisha-state</x:v>
      </x:c>
      <x:c r="K58" s="16" t="str">
        <x:v>turn166880search1</x:v>
      </x:c>
      <x:c r="L58" s="16" t="str">
        <x:v>Public directory listing</x:v>
      </x:c>
      <x:c r="M58" s="16" t="str">
        <x:v>Narrower specialization not shown in retrieved directory result.</x:v>
      </x:c>
      <x:c r="N58" s="17" t="b">
        <x:v>1</x:v>
      </x:c>
      <x:c r="O58" s="14" t="str">
        <x:v>Fallback / no narrower category in retrieved source</x:v>
      </x:c>
      <x:c r="P58" s="14" t="str">
        <x:v>Local/state directory coverage</x:v>
      </x:c>
    </x:row>
    <x:row r="59" ht="42" customHeight="1">
      <x:c r="A59" s="16" t="str">
        <x:v>SL058</x:v>
      </x:c>
      <x:c r="B59" s="16" t="str">
        <x:v>Punjab</x:v>
      </x:c>
      <x:c r="C59" s="16" t="str">
        <x:v>State</x:v>
      </x:c>
      <x:c r="D59" s="16" t="str">
        <x:v>Puneet Jaiswal</x:v>
      </x:c>
      <x:c r="E59" s="16" t="str">
        <x:v>Fatehgarh Sahib</x:v>
      </x:c>
      <x:c r="F59" s="22" t="str">
        <x:v>8360083672</x:v>
      </x:c>
      <x:c r="G59" s="16" t="str">
        <x:v>General Practice</x:v>
      </x:c>
      <x:c r="H59" s="16" t="str">
        <x:v>General Practice</x:v>
      </x:c>
      <x:c r="I59" s="16" t="str">
        <x:v>Free Law / De Jure public directory</x:v>
      </x:c>
      <x:c r="J59" s="22" t="str">
        <x:v>https://www.freelaw.in/advocates-in-punjab-state</x:v>
      </x:c>
      <x:c r="K59" s="16" t="str">
        <x:v>turn166880search9</x:v>
      </x:c>
      <x:c r="L59" s="16" t="str">
        <x:v>Public directory listing</x:v>
      </x:c>
      <x:c r="M59" s="16" t="str">
        <x:v>Narrower specialization not shown in retrieved directory result.</x:v>
      </x:c>
      <x:c r="N59" s="17" t="b">
        <x:v>1</x:v>
      </x:c>
      <x:c r="O59" s="14" t="str">
        <x:v>Fallback / no narrower category in retrieved source</x:v>
      </x:c>
      <x:c r="P59" s="14" t="str">
        <x:v>Local/state directory coverage</x:v>
      </x:c>
    </x:row>
    <x:row r="60" ht="42" customHeight="1">
      <x:c r="A60" s="16" t="str">
        <x:v>SL059</x:v>
      </x:c>
      <x:c r="B60" s="16" t="str">
        <x:v>Punjab</x:v>
      </x:c>
      <x:c r="C60" s="16" t="str">
        <x:v>State</x:v>
      </x:c>
      <x:c r="D60" s="16" t="str">
        <x:v>Mohit Sood</x:v>
      </x:c>
      <x:c r="E60" s="16" t="str">
        <x:v>Ludhiana</x:v>
      </x:c>
      <x:c r="F60" s="22" t="str">
        <x:v>9814003534</x:v>
      </x:c>
      <x:c r="G60" s="16" t="str">
        <x:v>General Practice</x:v>
      </x:c>
      <x:c r="H60" s="16" t="str">
        <x:v>General Practice</x:v>
      </x:c>
      <x:c r="I60" s="16" t="str">
        <x:v>Free Law / De Jure public directory</x:v>
      </x:c>
      <x:c r="J60" s="22" t="str">
        <x:v>https://www.freelaw.in/advocates-in-punjab-state</x:v>
      </x:c>
      <x:c r="K60" s="16" t="str">
        <x:v>turn166880search9</x:v>
      </x:c>
      <x:c r="L60" s="16" t="str">
        <x:v>Public directory listing</x:v>
      </x:c>
      <x:c r="M60" s="16" t="str">
        <x:v>Narrower specialization not shown in retrieved directory result.</x:v>
      </x:c>
      <x:c r="N60" s="17" t="b">
        <x:v>1</x:v>
      </x:c>
      <x:c r="O60" s="14" t="str">
        <x:v>Fallback / no narrower category in retrieved source</x:v>
      </x:c>
      <x:c r="P60" s="14" t="str">
        <x:v>Local/state directory coverage</x:v>
      </x:c>
    </x:row>
    <x:row r="61" ht="42" customHeight="1">
      <x:c r="A61" s="16" t="str">
        <x:v>SL060</x:v>
      </x:c>
      <x:c r="B61" s="16" t="str">
        <x:v>Punjab</x:v>
      </x:c>
      <x:c r="C61" s="16" t="str">
        <x:v>State</x:v>
      </x:c>
      <x:c r="D61" s="16" t="str">
        <x:v>Satish Kumar</x:v>
      </x:c>
      <x:c r="E61" s="16" t="str">
        <x:v>Ludhiana</x:v>
      </x:c>
      <x:c r="F61" s="22" t="str">
        <x:v>8558099535</x:v>
      </x:c>
      <x:c r="G61" s="16" t="str">
        <x:v>General Practice</x:v>
      </x:c>
      <x:c r="H61" s="16" t="str">
        <x:v>General Practice</x:v>
      </x:c>
      <x:c r="I61" s="16" t="str">
        <x:v>Free Law / De Jure public directory</x:v>
      </x:c>
      <x:c r="J61" s="22" t="str">
        <x:v>https://www.freelaw.in/advocates-in-punjab-state</x:v>
      </x:c>
      <x:c r="K61" s="16" t="str">
        <x:v>turn166880search9</x:v>
      </x:c>
      <x:c r="L61" s="16" t="str">
        <x:v>Public directory listing</x:v>
      </x:c>
      <x:c r="M61" s="16" t="str">
        <x:v>Narrower specialization not shown in retrieved directory result.</x:v>
      </x:c>
      <x:c r="N61" s="17" t="b">
        <x:v>1</x:v>
      </x:c>
      <x:c r="O61" s="14" t="str">
        <x:v>Fallback / no narrower category in retrieved source</x:v>
      </x:c>
      <x:c r="P61" s="14" t="str">
        <x:v>Local/state directory coverage</x:v>
      </x:c>
    </x:row>
    <x:row r="62" ht="42" customHeight="1">
      <x:c r="A62" s="16" t="str">
        <x:v>SL061</x:v>
      </x:c>
      <x:c r="B62" s="16" t="str">
        <x:v>Rajasthan</x:v>
      </x:c>
      <x:c r="C62" s="16" t="str">
        <x:v>State</x:v>
      </x:c>
      <x:c r="D62" s="16" t="str">
        <x:v>Manoj Kumar</x:v>
      </x:c>
      <x:c r="E62" s="16" t="str">
        <x:v>Jodhpur</x:v>
      </x:c>
      <x:c r="F62" s="22" t="str">
        <x:v>6378654545</x:v>
      </x:c>
      <x:c r="G62" s="16" t="str">
        <x:v>General Practice</x:v>
      </x:c>
      <x:c r="H62" s="16" t="str">
        <x:v>General Practice</x:v>
      </x:c>
      <x:c r="I62" s="16" t="str">
        <x:v>Free Law / De Jure public directory</x:v>
      </x:c>
      <x:c r="J62" s="22" t="str">
        <x:v>https://www.freelaw.in/advocates-in-rajasthan-state</x:v>
      </x:c>
      <x:c r="K62" s="16" t="str">
        <x:v>turn166880search6</x:v>
      </x:c>
      <x:c r="L62" s="16" t="str">
        <x:v>Public directory listing</x:v>
      </x:c>
      <x:c r="M62" s="16" t="str">
        <x:v>Narrower specialization not shown in retrieved directory result.</x:v>
      </x:c>
      <x:c r="N62" s="17" t="b">
        <x:v>1</x:v>
      </x:c>
      <x:c r="O62" s="14" t="str">
        <x:v>Fallback / no narrower category in retrieved source</x:v>
      </x:c>
      <x:c r="P62" s="14" t="str">
        <x:v>Local/state directory coverage</x:v>
      </x:c>
    </x:row>
    <x:row r="63" ht="42" customHeight="1">
      <x:c r="A63" s="16" t="str">
        <x:v>SL062</x:v>
      </x:c>
      <x:c r="B63" s="16" t="str">
        <x:v>Rajasthan</x:v>
      </x:c>
      <x:c r="C63" s="16" t="str">
        <x:v>State</x:v>
      </x:c>
      <x:c r="D63" s="16" t="str">
        <x:v>Shripal Dharmendra Dave</x:v>
      </x:c>
      <x:c r="E63" s="16" t="str">
        <x:v>Sanchore / Jalore</x:v>
      </x:c>
      <x:c r="F63" s="22" t="str">
        <x:v>9079235220</x:v>
      </x:c>
      <x:c r="G63" s="16" t="str">
        <x:v>General Practice</x:v>
      </x:c>
      <x:c r="H63" s="16" t="str">
        <x:v>General Practice</x:v>
      </x:c>
      <x:c r="I63" s="16" t="str">
        <x:v>Free Law / De Jure public directory</x:v>
      </x:c>
      <x:c r="J63" s="22" t="str">
        <x:v>https://www.freelaw.in/advocates-in-rajasthan-state</x:v>
      </x:c>
      <x:c r="K63" s="16" t="str">
        <x:v>turn166880search6</x:v>
      </x:c>
      <x:c r="L63" s="16" t="str">
        <x:v>Public directory listing</x:v>
      </x:c>
      <x:c r="M63" s="16" t="str">
        <x:v>Narrower specialization not shown in retrieved directory result.</x:v>
      </x:c>
      <x:c r="N63" s="17" t="b">
        <x:v>1</x:v>
      </x:c>
      <x:c r="O63" s="14" t="str">
        <x:v>Fallback / no narrower category in retrieved source</x:v>
      </x:c>
      <x:c r="P63" s="14" t="str">
        <x:v>Local/state directory coverage</x:v>
      </x:c>
    </x:row>
    <x:row r="64" ht="42" customHeight="1">
      <x:c r="A64" s="16" t="str">
        <x:v>SL063</x:v>
      </x:c>
      <x:c r="B64" s="16" t="str">
        <x:v>Rajasthan</x:v>
      </x:c>
      <x:c r="C64" s="16" t="str">
        <x:v>State</x:v>
      </x:c>
      <x:c r="D64" s="16" t="str">
        <x:v>Shree Ram Dhakar</x:v>
      </x:c>
      <x:c r="E64" s="16" t="str">
        <x:v>Jaipur</x:v>
      </x:c>
      <x:c r="F64" s="22" t="str">
        <x:v>8058615661</x:v>
      </x:c>
      <x:c r="G64" s="16" t="str">
        <x:v>General Practice</x:v>
      </x:c>
      <x:c r="H64" s="16" t="str">
        <x:v>General Practice</x:v>
      </x:c>
      <x:c r="I64" s="16" t="str">
        <x:v>Free Law / De Jure public directory</x:v>
      </x:c>
      <x:c r="J64" s="22" t="str">
        <x:v>https://www.freelaw.in/advocates-in-rajasthan-state</x:v>
      </x:c>
      <x:c r="K64" s="16" t="str">
        <x:v>turn166880search6</x:v>
      </x:c>
      <x:c r="L64" s="16" t="str">
        <x:v>Public directory listing</x:v>
      </x:c>
      <x:c r="M64" s="16" t="str">
        <x:v>Narrower specialization not shown in retrieved directory result.</x:v>
      </x:c>
      <x:c r="N64" s="17" t="b">
        <x:v>1</x:v>
      </x:c>
      <x:c r="O64" s="14" t="str">
        <x:v>Fallback / no narrower category in retrieved source</x:v>
      </x:c>
      <x:c r="P64" s="14" t="str">
        <x:v>Local/state directory coverage</x:v>
      </x:c>
    </x:row>
    <x:row r="65" ht="42" customHeight="1">
      <x:c r="A65" s="16" t="str">
        <x:v>SL064</x:v>
      </x:c>
      <x:c r="B65" s="16" t="str">
        <x:v>Sikkim</x:v>
      </x:c>
      <x:c r="C65" s="16" t="str">
        <x:v>State</x:v>
      </x:c>
      <x:c r="D65" s="16" t="str">
        <x:v>Samudragupta Dutta</x:v>
      </x:c>
      <x:c r="E65" s="16" t="str">
        <x:v>North-East practice coverage</x:v>
      </x:c>
      <x:c r="F65" s="22" t="str"/>
      <x:c r="G65" s="16" t="str">
        <x:v>General Practice</x:v>
      </x:c>
      <x:c r="H65" s="16" t="str">
        <x:v>General Practice, Property Rights, Employment Law, Intellectual Property, Consumer Protection, Divorce &amp; Family Law</x:v>
      </x:c>
      <x:c r="I65" s="16" t="str">
        <x:v>LawRato public advocate profile</x:v>
      </x:c>
      <x:c r="J65" s="22" t="str">
        <x:v>https://lawrato.com/</x:v>
      </x:c>
      <x:c r="K65" s="16" t="str">
        <x:v>turn264673search11</x:v>
      </x:c>
      <x:c r="L65" s="16" t="str">
        <x:v>Profile-reported practice / enrolment</x:v>
      </x:c>
      <x:c r="M65" s="16" t="str">
        <x:v>Cross-enrolment basis: profile states enrolment with the Sikkim State Bar Council; location shown is outside Sikkim in the retrieved profile.</x:v>
      </x:c>
      <x:c r="N65" s="17" t="b">
        <x:v>0</x:v>
      </x:c>
      <x:c r="O65" s="14" t="str">
        <x:v>Explicit / mapped specialization</x:v>
      </x:c>
      <x:c r="P65" s="14" t="str">
        <x:v>State Bar Council enrolment coverage; profile location may be outside this state</x:v>
      </x:c>
    </x:row>
    <x:row r="66" ht="42" customHeight="1">
      <x:c r="A66" s="16" t="str">
        <x:v>SL065</x:v>
      </x:c>
      <x:c r="B66" s="16" t="str">
        <x:v>Sikkim</x:v>
      </x:c>
      <x:c r="C66" s="16" t="str">
        <x:v>State</x:v>
      </x:c>
      <x:c r="D66" s="16" t="str">
        <x:v>Bidhayak Acharyya</x:v>
      </x:c>
      <x:c r="E66" s="16" t="str">
        <x:v>North-East practice coverage</x:v>
      </x:c>
      <x:c r="F66" s="22" t="str"/>
      <x:c r="G66" s="16" t="str">
        <x:v>General Practice</x:v>
      </x:c>
      <x:c r="H66" s="16" t="str">
        <x:v>General Practice, Criminal Law, Corporate Law, Property Rights, Consumer Protection, Constitutional Law</x:v>
      </x:c>
      <x:c r="I66" s="16" t="str">
        <x:v>LawRato public advocate profile</x:v>
      </x:c>
      <x:c r="J66" s="22" t="str">
        <x:v>https://lawrato.com/</x:v>
      </x:c>
      <x:c r="K66" s="16" t="str">
        <x:v>turn264673search3</x:v>
      </x:c>
      <x:c r="L66" s="16" t="str">
        <x:v>Profile-reported practice / enrolment</x:v>
      </x:c>
      <x:c r="M66" s="16" t="str">
        <x:v>Cross-enrolment basis: profile states enrolment with the Sikkim State Bar Council; location shown is outside Sikkim in the retrieved profile.</x:v>
      </x:c>
      <x:c r="N66" s="17" t="b">
        <x:v>0</x:v>
      </x:c>
      <x:c r="O66" s="14" t="str">
        <x:v>Explicit / mapped specialization</x:v>
      </x:c>
      <x:c r="P66" s="14" t="str">
        <x:v>State Bar Council enrolment coverage; profile location may be outside this state</x:v>
      </x:c>
    </x:row>
    <x:row r="67" ht="42" customHeight="1">
      <x:c r="A67" s="16" t="str">
        <x:v>SL066</x:v>
      </x:c>
      <x:c r="B67" s="16" t="str">
        <x:v>Sikkim</x:v>
      </x:c>
      <x:c r="C67" s="16" t="str">
        <x:v>State</x:v>
      </x:c>
      <x:c r="D67" s="16" t="str">
        <x:v>Shafiqul Haque</x:v>
      </x:c>
      <x:c r="E67" s="16" t="str">
        <x:v>North-East practice coverage</x:v>
      </x:c>
      <x:c r="F67" s="22" t="str"/>
      <x:c r="G67" s="16" t="str">
        <x:v>Criminal Law</x:v>
      </x:c>
      <x:c r="H67" s="16" t="str">
        <x:v>Criminal Law, Divorce &amp; Family Law, Property Rights, Corporate Law, General Practice</x:v>
      </x:c>
      <x:c r="I67" s="16" t="str">
        <x:v>LawRato public advocate profile</x:v>
      </x:c>
      <x:c r="J67" s="22" t="str">
        <x:v>https://lawrato.com/</x:v>
      </x:c>
      <x:c r="K67" s="16" t="str">
        <x:v>turn264673search8</x:v>
      </x:c>
      <x:c r="L67" s="16" t="str">
        <x:v>Profile-reported practice / enrolment</x:v>
      </x:c>
      <x:c r="M67" s="16" t="str">
        <x:v>Cross-enrolment basis: profile states enrolment with the Sikkim State Bar Council; location shown is outside Sikkim in the retrieved profile.</x:v>
      </x:c>
      <x:c r="N67" s="17" t="b">
        <x:v>0</x:v>
      </x:c>
      <x:c r="O67" s="14" t="str">
        <x:v>Explicit / mapped specialization</x:v>
      </x:c>
      <x:c r="P67" s="14" t="str">
        <x:v>State Bar Council enrolment coverage; profile location may be outside this state</x:v>
      </x:c>
    </x:row>
    <x:row r="68" ht="42" customHeight="1">
      <x:c r="A68" s="16" t="str">
        <x:v>SL067</x:v>
      </x:c>
      <x:c r="B68" s="16" t="str">
        <x:v>Tamil Nadu</x:v>
      </x:c>
      <x:c r="C68" s="16" t="str">
        <x:v>State</x:v>
      </x:c>
      <x:c r="D68" s="16" t="str">
        <x:v>A.Manoharan A</x:v>
      </x:c>
      <x:c r="E68" s="16" t="str">
        <x:v>Virudhunagar</x:v>
      </x:c>
      <x:c r="F68" s="22" t="str">
        <x:v>9443145884; 8220760678</x:v>
      </x:c>
      <x:c r="G68" s="16" t="str">
        <x:v>General Practice</x:v>
      </x:c>
      <x:c r="H68" s="16" t="str">
        <x:v>General Practice</x:v>
      </x:c>
      <x:c r="I68" s="16" t="str">
        <x:v>Free Law / De Jure public directory</x:v>
      </x:c>
      <x:c r="J68" s="22" t="str">
        <x:v>https://www.freelaw.in/advocates-in-tamil-nadu-state</x:v>
      </x:c>
      <x:c r="K68" s="16" t="str">
        <x:v>turn166880search10</x:v>
      </x:c>
      <x:c r="L68" s="16" t="str">
        <x:v>Public directory listing</x:v>
      </x:c>
      <x:c r="M68" s="16" t="str">
        <x:v>Narrower specialization not shown in retrieved directory result.</x:v>
      </x:c>
      <x:c r="N68" s="17" t="b">
        <x:v>1</x:v>
      </x:c>
      <x:c r="O68" s="14" t="str">
        <x:v>Fallback / no narrower category in retrieved source</x:v>
      </x:c>
      <x:c r="P68" s="14" t="str">
        <x:v>Local/state directory coverage</x:v>
      </x:c>
    </x:row>
    <x:row r="69" ht="42" customHeight="1">
      <x:c r="A69" s="16" t="str">
        <x:v>SL068</x:v>
      </x:c>
      <x:c r="B69" s="16" t="str">
        <x:v>Tamil Nadu</x:v>
      </x:c>
      <x:c r="C69" s="16" t="str">
        <x:v>State</x:v>
      </x:c>
      <x:c r="D69" s="16" t="str">
        <x:v>Preethy Viswanath K</x:v>
      </x:c>
      <x:c r="E69" s="16" t="str">
        <x:v>Coimbatore</x:v>
      </x:c>
      <x:c r="F69" s="22" t="str">
        <x:v>9994300043</x:v>
      </x:c>
      <x:c r="G69" s="16" t="str">
        <x:v>General Practice</x:v>
      </x:c>
      <x:c r="H69" s="16" t="str">
        <x:v>General Practice</x:v>
      </x:c>
      <x:c r="I69" s="16" t="str">
        <x:v>Free Law / De Jure public directory</x:v>
      </x:c>
      <x:c r="J69" s="22" t="str">
        <x:v>https://www.freelaw.in/advocates-in-tamil-nadu-state</x:v>
      </x:c>
      <x:c r="K69" s="16" t="str">
        <x:v>turn166880search10</x:v>
      </x:c>
      <x:c r="L69" s="16" t="str">
        <x:v>Public directory listing</x:v>
      </x:c>
      <x:c r="M69" s="16" t="str">
        <x:v>Narrower specialization not shown in retrieved directory result.</x:v>
      </x:c>
      <x:c r="N69" s="17" t="b">
        <x:v>1</x:v>
      </x:c>
      <x:c r="O69" s="14" t="str">
        <x:v>Fallback / no narrower category in retrieved source</x:v>
      </x:c>
      <x:c r="P69" s="14" t="str">
        <x:v>Local/state directory coverage</x:v>
      </x:c>
    </x:row>
    <x:row r="70" ht="42" customHeight="1">
      <x:c r="A70" s="16" t="str">
        <x:v>SL069</x:v>
      </x:c>
      <x:c r="B70" s="16" t="str">
        <x:v>Tamil Nadu</x:v>
      </x:c>
      <x:c r="C70" s="16" t="str">
        <x:v>State</x:v>
      </x:c>
      <x:c r="D70" s="16" t="str">
        <x:v>Soundar Rajan P</x:v>
      </x:c>
      <x:c r="E70" s="16" t="str">
        <x:v>Bhavani / Erode</x:v>
      </x:c>
      <x:c r="F70" s="22" t="str">
        <x:v>6382117211</x:v>
      </x:c>
      <x:c r="G70" s="16" t="str">
        <x:v>General Practice</x:v>
      </x:c>
      <x:c r="H70" s="16" t="str">
        <x:v>General Practice</x:v>
      </x:c>
      <x:c r="I70" s="16" t="str">
        <x:v>Free Law / De Jure public directory</x:v>
      </x:c>
      <x:c r="J70" s="22" t="str">
        <x:v>https://www.freelaw.in/advocates-in-tamil-nadu-state</x:v>
      </x:c>
      <x:c r="K70" s="16" t="str">
        <x:v>turn166880search10</x:v>
      </x:c>
      <x:c r="L70" s="16" t="str">
        <x:v>Public directory listing</x:v>
      </x:c>
      <x:c r="M70" s="16" t="str">
        <x:v>Narrower specialization not shown in retrieved directory result.</x:v>
      </x:c>
      <x:c r="N70" s="17" t="b">
        <x:v>1</x:v>
      </x:c>
      <x:c r="O70" s="14" t="str">
        <x:v>Fallback / no narrower category in retrieved source</x:v>
      </x:c>
      <x:c r="P70" s="14" t="str">
        <x:v>Local/state directory coverage</x:v>
      </x:c>
    </x:row>
    <x:row r="71" ht="42" customHeight="1">
      <x:c r="A71" s="16" t="str">
        <x:v>SL070</x:v>
      </x:c>
      <x:c r="B71" s="16" t="str">
        <x:v>Telangana</x:v>
      </x:c>
      <x:c r="C71" s="16" t="str">
        <x:v>State</x:v>
      </x:c>
      <x:c r="D71" s="16" t="str">
        <x:v>MKUTHENDER VELISHALA</x:v>
      </x:c>
      <x:c r="E71" s="16" t="str">
        <x:v>Rangareddy</x:v>
      </x:c>
      <x:c r="F71" s="22" t="str">
        <x:v>8897733791</x:v>
      </x:c>
      <x:c r="G71" s="16" t="str">
        <x:v>General Practice</x:v>
      </x:c>
      <x:c r="H71" s="16" t="str">
        <x:v>General Practice</x:v>
      </x:c>
      <x:c r="I71" s="16" t="str">
        <x:v>Free Law / De Jure public directory</x:v>
      </x:c>
      <x:c r="J71" s="22" t="str">
        <x:v>https://www.freelaw.in/advocates-in-telangana-state</x:v>
      </x:c>
      <x:c r="K71" s="16" t="str">
        <x:v>turn166880search7</x:v>
      </x:c>
      <x:c r="L71" s="16" t="str">
        <x:v>Public directory listing</x:v>
      </x:c>
      <x:c r="M71" s="16" t="str">
        <x:v>Narrower specialization not shown in retrieved directory result.</x:v>
      </x:c>
      <x:c r="N71" s="17" t="b">
        <x:v>1</x:v>
      </x:c>
      <x:c r="O71" s="14" t="str">
        <x:v>Fallback / no narrower category in retrieved source</x:v>
      </x:c>
      <x:c r="P71" s="14" t="str">
        <x:v>Local/state directory coverage</x:v>
      </x:c>
    </x:row>
    <x:row r="72" ht="42" customHeight="1">
      <x:c r="A72" s="16" t="str">
        <x:v>SL071</x:v>
      </x:c>
      <x:c r="B72" s="16" t="str">
        <x:v>Telangana</x:v>
      </x:c>
      <x:c r="C72" s="16" t="str">
        <x:v>State</x:v>
      </x:c>
      <x:c r="D72" s="16" t="str">
        <x:v>M M Bhat</x:v>
      </x:c>
      <x:c r="E72" s="16" t="str">
        <x:v>Rangareddy</x:v>
      </x:c>
      <x:c r="F72" s="22" t="str">
        <x:v>8919181098; 9247390427</x:v>
      </x:c>
      <x:c r="G72" s="16" t="str">
        <x:v>General Practice</x:v>
      </x:c>
      <x:c r="H72" s="16" t="str">
        <x:v>General Practice</x:v>
      </x:c>
      <x:c r="I72" s="16" t="str">
        <x:v>Free Law / De Jure public directory</x:v>
      </x:c>
      <x:c r="J72" s="22" t="str">
        <x:v>https://www.freelaw.in/advocates-in-telangana-state</x:v>
      </x:c>
      <x:c r="K72" s="16" t="str">
        <x:v>turn166880search7</x:v>
      </x:c>
      <x:c r="L72" s="16" t="str">
        <x:v>Public directory listing</x:v>
      </x:c>
      <x:c r="M72" s="16" t="str">
        <x:v>Narrower specialization not shown in retrieved directory result.</x:v>
      </x:c>
      <x:c r="N72" s="17" t="b">
        <x:v>1</x:v>
      </x:c>
      <x:c r="O72" s="14" t="str">
        <x:v>Fallback / no narrower category in retrieved source</x:v>
      </x:c>
      <x:c r="P72" s="14" t="str">
        <x:v>Local/state directory coverage</x:v>
      </x:c>
    </x:row>
    <x:row r="73" ht="42" customHeight="1">
      <x:c r="A73" s="16" t="str">
        <x:v>SL072</x:v>
      </x:c>
      <x:c r="B73" s="16" t="str">
        <x:v>Telangana</x:v>
      </x:c>
      <x:c r="C73" s="16" t="str">
        <x:v>State</x:v>
      </x:c>
      <x:c r="D73" s="16" t="str">
        <x:v>Devineni venkatarao</x:v>
      </x:c>
      <x:c r="E73" s="16" t="str">
        <x:v>Rangareddy</x:v>
      </x:c>
      <x:c r="F73" s="22" t="str">
        <x:v>9119116659</x:v>
      </x:c>
      <x:c r="G73" s="16" t="str">
        <x:v>General Practice</x:v>
      </x:c>
      <x:c r="H73" s="16" t="str">
        <x:v>General Practice</x:v>
      </x:c>
      <x:c r="I73" s="16" t="str">
        <x:v>Free Law / De Jure public directory</x:v>
      </x:c>
      <x:c r="J73" s="22" t="str">
        <x:v>https://www.freelaw.in/advocates-in-telangana-state</x:v>
      </x:c>
      <x:c r="K73" s="16" t="str">
        <x:v>turn166880search7</x:v>
      </x:c>
      <x:c r="L73" s="16" t="str">
        <x:v>Public directory listing</x:v>
      </x:c>
      <x:c r="M73" s="16" t="str">
        <x:v>Narrower specialization not shown in retrieved directory result.</x:v>
      </x:c>
      <x:c r="N73" s="17" t="b">
        <x:v>1</x:v>
      </x:c>
      <x:c r="O73" s="14" t="str">
        <x:v>Fallback / no narrower category in retrieved source</x:v>
      </x:c>
      <x:c r="P73" s="14" t="str">
        <x:v>Local/state directory coverage</x:v>
      </x:c>
    </x:row>
    <x:row r="74" ht="42" customHeight="1">
      <x:c r="A74" s="16" t="str">
        <x:v>SL073</x:v>
      </x:c>
      <x:c r="B74" s="16" t="str">
        <x:v>Tripura</x:v>
      </x:c>
      <x:c r="C74" s="16" t="str">
        <x:v>State</x:v>
      </x:c>
      <x:c r="D74" s="16" t="str">
        <x:v>Satyajit Dey</x:v>
      </x:c>
      <x:c r="E74" s="16" t="str">
        <x:v>Agartala</x:v>
      </x:c>
      <x:c r="F74" s="22" t="str">
        <x:v>8787761937</x:v>
      </x:c>
      <x:c r="G74" s="16" t="str">
        <x:v>General Practice</x:v>
      </x:c>
      <x:c r="H74" s="16" t="str">
        <x:v>General Practice</x:v>
      </x:c>
      <x:c r="I74" s="16" t="str">
        <x:v>Free Law / De Jure public directory</x:v>
      </x:c>
      <x:c r="J74" s="22" t="str">
        <x:v>https://www.freelaw.in/advocates-in-tripura-state</x:v>
      </x:c>
      <x:c r="K74" s="16" t="str">
        <x:v>turn166880search2</x:v>
      </x:c>
      <x:c r="L74" s="16" t="str">
        <x:v>Public directory listing</x:v>
      </x:c>
      <x:c r="M74" s="16" t="str">
        <x:v>Narrower specialization not shown in retrieved directory result.</x:v>
      </x:c>
      <x:c r="N74" s="17" t="b">
        <x:v>1</x:v>
      </x:c>
      <x:c r="O74" s="14" t="str">
        <x:v>Fallback / no narrower category in retrieved source</x:v>
      </x:c>
      <x:c r="P74" s="14" t="str">
        <x:v>Local/state directory coverage</x:v>
      </x:c>
    </x:row>
    <x:row r="75" ht="42" customHeight="1">
      <x:c r="A75" s="16" t="str">
        <x:v>SL074</x:v>
      </x:c>
      <x:c r="B75" s="16" t="str">
        <x:v>Tripura</x:v>
      </x:c>
      <x:c r="C75" s="16" t="str">
        <x:v>State</x:v>
      </x:c>
      <x:c r="D75" s="16" t="str">
        <x:v>Rahul Acharjee</x:v>
      </x:c>
      <x:c r="E75" s="16" t="str">
        <x:v>Agartala</x:v>
      </x:c>
      <x:c r="F75" s="22" t="str">
        <x:v>8131043588; 7584035974</x:v>
      </x:c>
      <x:c r="G75" s="16" t="str">
        <x:v>General Practice</x:v>
      </x:c>
      <x:c r="H75" s="16" t="str">
        <x:v>General Practice</x:v>
      </x:c>
      <x:c r="I75" s="16" t="str">
        <x:v>Free Law / De Jure public directory</x:v>
      </x:c>
      <x:c r="J75" s="22" t="str">
        <x:v>https://www.freelaw.in/advocates-in-tripura-state</x:v>
      </x:c>
      <x:c r="K75" s="16" t="str">
        <x:v>turn166880search2</x:v>
      </x:c>
      <x:c r="L75" s="16" t="str">
        <x:v>Public directory listing</x:v>
      </x:c>
      <x:c r="M75" s="16" t="str">
        <x:v>Narrower specialization not shown in retrieved directory result.</x:v>
      </x:c>
      <x:c r="N75" s="17" t="b">
        <x:v>1</x:v>
      </x:c>
      <x:c r="O75" s="14" t="str">
        <x:v>Fallback / no narrower category in retrieved source</x:v>
      </x:c>
      <x:c r="P75" s="14" t="str">
        <x:v>Local/state directory coverage</x:v>
      </x:c>
    </x:row>
    <x:row r="76" ht="42" customHeight="1">
      <x:c r="A76" s="16" t="str">
        <x:v>SL075</x:v>
      </x:c>
      <x:c r="B76" s="16" t="str">
        <x:v>Tripura</x:v>
      </x:c>
      <x:c r="C76" s="16" t="str">
        <x:v>State</x:v>
      </x:c>
      <x:c r="D76" s="16" t="str">
        <x:v>Nitish Debnath</x:v>
      </x:c>
      <x:c r="E76" s="16" t="str">
        <x:v>Agartala</x:v>
      </x:c>
      <x:c r="F76" s="22" t="str">
        <x:v>7085712213</x:v>
      </x:c>
      <x:c r="G76" s="16" t="str">
        <x:v>General Practice</x:v>
      </x:c>
      <x:c r="H76" s="16" t="str">
        <x:v>General Practice</x:v>
      </x:c>
      <x:c r="I76" s="16" t="str">
        <x:v>Free Law / De Jure public directory</x:v>
      </x:c>
      <x:c r="J76" s="22" t="str">
        <x:v>https://www.freelaw.in/advocates-in-tripura-state</x:v>
      </x:c>
      <x:c r="K76" s="16" t="str">
        <x:v>turn166880search2</x:v>
      </x:c>
      <x:c r="L76" s="16" t="str">
        <x:v>Public directory listing</x:v>
      </x:c>
      <x:c r="M76" s="16" t="str">
        <x:v>Narrower specialization not shown in retrieved directory result.</x:v>
      </x:c>
      <x:c r="N76" s="17" t="b">
        <x:v>1</x:v>
      </x:c>
      <x:c r="O76" s="14" t="str">
        <x:v>Fallback / no narrower category in retrieved source</x:v>
      </x:c>
      <x:c r="P76" s="14" t="str">
        <x:v>Local/state directory coverage</x:v>
      </x:c>
    </x:row>
    <x:row r="77" ht="42" customHeight="1">
      <x:c r="A77" s="16" t="str">
        <x:v>SL076</x:v>
      </x:c>
      <x:c r="B77" s="16" t="str">
        <x:v>Uttar Pradesh</x:v>
      </x:c>
      <x:c r="C77" s="16" t="str">
        <x:v>State</x:v>
      </x:c>
      <x:c r="D77" s="16" t="str">
        <x:v>Abhay Pratap Singh</x:v>
      </x:c>
      <x:c r="E77" s="16" t="str">
        <x:v>Kheri, Lakhimpur Kheri</x:v>
      </x:c>
      <x:c r="F77" s="22" t="str">
        <x:v>7309395303; 6393034188</x:v>
      </x:c>
      <x:c r="G77" s="16" t="str">
        <x:v>General Practice</x:v>
      </x:c>
      <x:c r="H77" s="16" t="str">
        <x:v>General Practice</x:v>
      </x:c>
      <x:c r="I77" s="16" t="str">
        <x:v>Free Law / De Jure public directory</x:v>
      </x:c>
      <x:c r="J77" s="22" t="str">
        <x:v>https://www.freelaw.in/advocates-in-uttar-pradesh-state</x:v>
      </x:c>
      <x:c r="K77" s="16" t="str">
        <x:v>turn844489search1</x:v>
      </x:c>
      <x:c r="L77" s="16" t="str">
        <x:v>Public directory listing</x:v>
      </x:c>
      <x:c r="M77" s="16" t="str">
        <x:v>Narrower specialization not shown in retrieved directory result.</x:v>
      </x:c>
      <x:c r="N77" s="17" t="b">
        <x:v>1</x:v>
      </x:c>
      <x:c r="O77" s="14" t="str">
        <x:v>Fallback / no narrower category in retrieved source</x:v>
      </x:c>
      <x:c r="P77" s="14" t="str">
        <x:v>Local/state directory coverage</x:v>
      </x:c>
    </x:row>
    <x:row r="78" ht="42" customHeight="1">
      <x:c r="A78" s="16" t="str">
        <x:v>SL077</x:v>
      </x:c>
      <x:c r="B78" s="16" t="str">
        <x:v>Uttar Pradesh</x:v>
      </x:c>
      <x:c r="C78" s="16" t="str">
        <x:v>State</x:v>
      </x:c>
      <x:c r="D78" s="16" t="str">
        <x:v>Susheel Singh</x:v>
      </x:c>
      <x:c r="E78" s="16" t="str">
        <x:v>Prayagraj</x:v>
      </x:c>
      <x:c r="F78" s="22" t="str">
        <x:v>7905492052; 8081323715</x:v>
      </x:c>
      <x:c r="G78" s="16" t="str">
        <x:v>General Practice</x:v>
      </x:c>
      <x:c r="H78" s="16" t="str">
        <x:v>General Practice</x:v>
      </x:c>
      <x:c r="I78" s="16" t="str">
        <x:v>Free Law / De Jure public directory</x:v>
      </x:c>
      <x:c r="J78" s="22" t="str">
        <x:v>https://www.freelaw.in/advocates-in-uttar-pradesh-state</x:v>
      </x:c>
      <x:c r="K78" s="16" t="str">
        <x:v>turn844489search1</x:v>
      </x:c>
      <x:c r="L78" s="16" t="str">
        <x:v>Public directory listing</x:v>
      </x:c>
      <x:c r="M78" s="16" t="str">
        <x:v>Narrower specialization not shown in retrieved directory result.</x:v>
      </x:c>
      <x:c r="N78" s="17" t="b">
        <x:v>1</x:v>
      </x:c>
      <x:c r="O78" s="14" t="str">
        <x:v>Fallback / no narrower category in retrieved source</x:v>
      </x:c>
      <x:c r="P78" s="14" t="str">
        <x:v>Local/state directory coverage</x:v>
      </x:c>
    </x:row>
    <x:row r="79" ht="42" customHeight="1">
      <x:c r="A79" s="16" t="str">
        <x:v>SL078</x:v>
      </x:c>
      <x:c r="B79" s="16" t="str">
        <x:v>Uttar Pradesh</x:v>
      </x:c>
      <x:c r="C79" s="16" t="str">
        <x:v>State</x:v>
      </x:c>
      <x:c r="D79" s="16" t="str">
        <x:v>Sachin Sharma</x:v>
      </x:c>
      <x:c r="E79" s="16" t="str">
        <x:v>Lucknow</x:v>
      </x:c>
      <x:c r="F79" s="22" t="str">
        <x:v>7754837924; 9580390154</x:v>
      </x:c>
      <x:c r="G79" s="16" t="str">
        <x:v>General Practice</x:v>
      </x:c>
      <x:c r="H79" s="16" t="str">
        <x:v>General Practice</x:v>
      </x:c>
      <x:c r="I79" s="16" t="str">
        <x:v>Free Law / De Jure public directory</x:v>
      </x:c>
      <x:c r="J79" s="22" t="str">
        <x:v>https://www.freelaw.in/advocates-in-uttar-pradesh-state</x:v>
      </x:c>
      <x:c r="K79" s="16" t="str">
        <x:v>turn844489search1</x:v>
      </x:c>
      <x:c r="L79" s="16" t="str">
        <x:v>Public directory listing</x:v>
      </x:c>
      <x:c r="M79" s="16" t="str">
        <x:v>Narrower specialization not shown in retrieved directory result.</x:v>
      </x:c>
      <x:c r="N79" s="17" t="b">
        <x:v>1</x:v>
      </x:c>
      <x:c r="O79" s="14" t="str">
        <x:v>Fallback / no narrower category in retrieved source</x:v>
      </x:c>
      <x:c r="P79" s="14" t="str">
        <x:v>Local/state directory coverage</x:v>
      </x:c>
    </x:row>
    <x:row r="80" ht="42" customHeight="1">
      <x:c r="A80" s="16" t="str">
        <x:v>SL079</x:v>
      </x:c>
      <x:c r="B80" s="16" t="str">
        <x:v>Uttarakhand</x:v>
      </x:c>
      <x:c r="C80" s="16" t="str">
        <x:v>State</x:v>
      </x:c>
      <x:c r="D80" s="16" t="str">
        <x:v>MADHU NEGI TRIPATHI</x:v>
      </x:c>
      <x:c r="E80" s="16" t="str">
        <x:v>Dehradun</x:v>
      </x:c>
      <x:c r="F80" s="22" t="str">
        <x:v>8171527733; 8755430410</x:v>
      </x:c>
      <x:c r="G80" s="16" t="str">
        <x:v>General Practice</x:v>
      </x:c>
      <x:c r="H80" s="16" t="str">
        <x:v>General Practice</x:v>
      </x:c>
      <x:c r="I80" s="16" t="str">
        <x:v>Free Law / De Jure public directory</x:v>
      </x:c>
      <x:c r="J80" s="22" t="str">
        <x:v>https://www.freelaw.in/advocates-in-uttarakhand-state</x:v>
      </x:c>
      <x:c r="K80" s="16" t="str">
        <x:v>turn844489search0</x:v>
      </x:c>
      <x:c r="L80" s="16" t="str">
        <x:v>Public directory listing</x:v>
      </x:c>
      <x:c r="M80" s="16" t="str">
        <x:v>Narrower specialization not shown in retrieved directory result.</x:v>
      </x:c>
      <x:c r="N80" s="17" t="b">
        <x:v>1</x:v>
      </x:c>
      <x:c r="O80" s="14" t="str">
        <x:v>Fallback / no narrower category in retrieved source</x:v>
      </x:c>
      <x:c r="P80" s="14" t="str">
        <x:v>Local/state directory coverage</x:v>
      </x:c>
    </x:row>
    <x:row r="81" ht="42" customHeight="1">
      <x:c r="A81" s="16" t="str">
        <x:v>SL080</x:v>
      </x:c>
      <x:c r="B81" s="16" t="str">
        <x:v>Uttarakhand</x:v>
      </x:c>
      <x:c r="C81" s="16" t="str">
        <x:v>State</x:v>
      </x:c>
      <x:c r="D81" s="16" t="str">
        <x:v>Anil Nimesh</x:v>
      </x:c>
      <x:c r="E81" s="16" t="str">
        <x:v>Dehradun</x:v>
      </x:c>
      <x:c r="F81" s="22" t="str">
        <x:v>9058413133</x:v>
      </x:c>
      <x:c r="G81" s="16" t="str">
        <x:v>Constitutional Law</x:v>
      </x:c>
      <x:c r="H81" s="16" t="str">
        <x:v>Constitutional Law</x:v>
      </x:c>
      <x:c r="I81" s="16" t="str">
        <x:v>Free Law / De Jure public directory</x:v>
      </x:c>
      <x:c r="J81" s="22" t="str">
        <x:v>https://www.freelaw.in/advocates-in-uttarakhand-state</x:v>
      </x:c>
      <x:c r="K81" s="16" t="str">
        <x:v>turn844489search0</x:v>
      </x:c>
      <x:c r="L81" s="16" t="str">
        <x:v>Public directory listing</x:v>
      </x:c>
      <x:c r="M81" s="16" t="str">
        <x:v>Directory explicitly lists LL.B &amp; LL.M (Constitutional law).</x:v>
      </x:c>
      <x:c r="N81" s="17" t="b">
        <x:v>1</x:v>
      </x:c>
      <x:c r="O81" s="14" t="str">
        <x:v>Explicit / mapped specialization</x:v>
      </x:c>
      <x:c r="P81" s="14" t="str">
        <x:v>Local/state directory coverage</x:v>
      </x:c>
    </x:row>
    <x:row r="82" ht="42" customHeight="1">
      <x:c r="A82" s="16" t="str">
        <x:v>SL081</x:v>
      </x:c>
      <x:c r="B82" s="16" t="str">
        <x:v>Uttarakhand</x:v>
      </x:c>
      <x:c r="C82" s="16" t="str">
        <x:v>State</x:v>
      </x:c>
      <x:c r="D82" s="16" t="str">
        <x:v>DEEPAK JOSHI</x:v>
      </x:c>
      <x:c r="E82" s="16" t="str">
        <x:v>Champawat</x:v>
      </x:c>
      <x:c r="F82" s="22" t="str">
        <x:v>9068208245</x:v>
      </x:c>
      <x:c r="G82" s="16" t="str">
        <x:v>Cyber Law</x:v>
      </x:c>
      <x:c r="H82" s="16" t="str">
        <x:v>Cyber Law, Human Rights</x:v>
      </x:c>
      <x:c r="I82" s="16" t="str">
        <x:v>Free Law / De Jure public directory</x:v>
      </x:c>
      <x:c r="J82" s="22" t="str">
        <x:v>https://www.freelaw.in/advocates-in-uttarakhand-state</x:v>
      </x:c>
      <x:c r="K82" s="16" t="str">
        <x:v>turn844489search0</x:v>
      </x:c>
      <x:c r="L82" s="16" t="str">
        <x:v>Public directory listing</x:v>
      </x:c>
      <x:c r="M82" s="16" t="str">
        <x:v>Directory explicitly lists Diploma in Cyber Crime and Diploma in Human Rights.</x:v>
      </x:c>
      <x:c r="N82" s="17" t="b">
        <x:v>1</x:v>
      </x:c>
      <x:c r="O82" s="14" t="str">
        <x:v>Explicit / mapped specialization</x:v>
      </x:c>
      <x:c r="P82" s="14" t="str">
        <x:v>Local/state directory coverage</x:v>
      </x:c>
    </x:row>
    <x:row r="83" ht="42" customHeight="1">
      <x:c r="A83" s="16" t="str">
        <x:v>SL082</x:v>
      </x:c>
      <x:c r="B83" s="16" t="str">
        <x:v>West Bengal</x:v>
      </x:c>
      <x:c r="C83" s="16" t="str">
        <x:v>State</x:v>
      </x:c>
      <x:c r="D83" s="16" t="str">
        <x:v>Mukunda Malik</x:v>
      </x:c>
      <x:c r="E83" s="16" t="str">
        <x:v>Purba Burdwan (Bardhaman)</x:v>
      </x:c>
      <x:c r="F83" s="22" t="str">
        <x:v>9064991256</x:v>
      </x:c>
      <x:c r="G83" s="16" t="str">
        <x:v>General Practice</x:v>
      </x:c>
      <x:c r="H83" s="16" t="str">
        <x:v>General Practice</x:v>
      </x:c>
      <x:c r="I83" s="16" t="str">
        <x:v>Free Law / De Jure public directory</x:v>
      </x:c>
      <x:c r="J83" s="22" t="str">
        <x:v>https://www.freelaw.in/advocates-in-west-bengal-state</x:v>
      </x:c>
      <x:c r="K83" s="16" t="str">
        <x:v>turn844489search3</x:v>
      </x:c>
      <x:c r="L83" s="16" t="str">
        <x:v>Public directory listing</x:v>
      </x:c>
      <x:c r="M83" s="16" t="str">
        <x:v>Narrower specialization not shown in retrieved directory result.</x:v>
      </x:c>
      <x:c r="N83" s="17" t="b">
        <x:v>1</x:v>
      </x:c>
      <x:c r="O83" s="14" t="str">
        <x:v>Fallback / no narrower category in retrieved source</x:v>
      </x:c>
      <x:c r="P83" s="14" t="str">
        <x:v>Local/state directory coverage</x:v>
      </x:c>
    </x:row>
    <x:row r="84" ht="42" customHeight="1">
      <x:c r="A84" s="16" t="str">
        <x:v>SL083</x:v>
      </x:c>
      <x:c r="B84" s="16" t="str">
        <x:v>West Bengal</x:v>
      </x:c>
      <x:c r="C84" s="16" t="str">
        <x:v>State</x:v>
      </x:c>
      <x:c r="D84" s="16" t="str">
        <x:v>Aveek Bose</x:v>
      </x:c>
      <x:c r="E84" s="16" t="str">
        <x:v>Kolkata</x:v>
      </x:c>
      <x:c r="F84" s="22" t="str">
        <x:v>8777708892; 9830949944</x:v>
      </x:c>
      <x:c r="G84" s="16" t="str">
        <x:v>General Practice</x:v>
      </x:c>
      <x:c r="H84" s="16" t="str">
        <x:v>General Practice</x:v>
      </x:c>
      <x:c r="I84" s="16" t="str">
        <x:v>Free Law / De Jure public directory</x:v>
      </x:c>
      <x:c r="J84" s="22" t="str">
        <x:v>https://www.freelaw.in/advocates-in-west-bengal-state</x:v>
      </x:c>
      <x:c r="K84" s="16" t="str">
        <x:v>turn844489search3</x:v>
      </x:c>
      <x:c r="L84" s="16" t="str">
        <x:v>Public directory listing</x:v>
      </x:c>
      <x:c r="M84" s="16" t="str">
        <x:v>Narrower specialization not shown in retrieved directory result.</x:v>
      </x:c>
      <x:c r="N84" s="17" t="b">
        <x:v>1</x:v>
      </x:c>
      <x:c r="O84" s="14" t="str">
        <x:v>Fallback / no narrower category in retrieved source</x:v>
      </x:c>
      <x:c r="P84" s="14" t="str">
        <x:v>Local/state directory coverage</x:v>
      </x:c>
    </x:row>
    <x:row r="85" ht="42" customHeight="1">
      <x:c r="A85" s="16" t="str">
        <x:v>SL084</x:v>
      </x:c>
      <x:c r="B85" s="16" t="str">
        <x:v>West Bengal</x:v>
      </x:c>
      <x:c r="C85" s="16" t="str">
        <x:v>State</x:v>
      </x:c>
      <x:c r="D85" s="16" t="str">
        <x:v>Rohan Shaw</x:v>
      </x:c>
      <x:c r="E85" s="16" t="str">
        <x:v>Garia, South 24 Parganas</x:v>
      </x:c>
      <x:c r="F85" s="22" t="str">
        <x:v>8335813686</x:v>
      </x:c>
      <x:c r="G85" s="16" t="str">
        <x:v>General Practice</x:v>
      </x:c>
      <x:c r="H85" s="16" t="str">
        <x:v>General Practice</x:v>
      </x:c>
      <x:c r="I85" s="16" t="str">
        <x:v>Free Law / De Jure public directory</x:v>
      </x:c>
      <x:c r="J85" s="22" t="str">
        <x:v>https://www.freelaw.in/advocates-in-west-bengal-state</x:v>
      </x:c>
      <x:c r="K85" s="16" t="str">
        <x:v>turn844489search3</x:v>
      </x:c>
      <x:c r="L85" s="16" t="str">
        <x:v>Public directory listing</x:v>
      </x:c>
      <x:c r="M85" s="16" t="str">
        <x:v>Narrower specialization not shown in retrieved directory result.</x:v>
      </x:c>
      <x:c r="N85" s="17" t="b">
        <x:v>1</x:v>
      </x:c>
      <x:c r="O85" s="14" t="str">
        <x:v>Fallback / no narrower category in retrieved source</x:v>
      </x:c>
      <x:c r="P85" s="14" t="str">
        <x:v>Local/state directory coverage</x:v>
      </x:c>
    </x:row>
    <x:row r="86" ht="42" customHeight="1">
      <x:c r="A86" s="16" t="str">
        <x:v>SL085</x:v>
      </x:c>
      <x:c r="B86" s="16" t="str">
        <x:v>Andaman and Nicobar Islands</x:v>
      </x:c>
      <x:c r="C86" s="16" t="str">
        <x:v>Union Territory</x:v>
      </x:c>
      <x:c r="D86" s="16" t="str">
        <x:v>Krishna Rao</x:v>
      </x:c>
      <x:c r="E86" s="16" t="str">
        <x:v>Andaman and Nicobar Islands</x:v>
      </x:c>
      <x:c r="F86" s="22" t="str"/>
      <x:c r="G86" s="16" t="str">
        <x:v>General Practice</x:v>
      </x:c>
      <x:c r="H86" s="16" t="str">
        <x:v>General Practice</x:v>
      </x:c>
      <x:c r="I86" s="16" t="str">
        <x:v>Local legal-news report referencing panel-lawyer recognition</x:v>
      </x:c>
      <x:c r="J86" s="22" t="str">
        <x:v>https://andamansheekha.com/</x:v>
      </x:c>
      <x:c r="K86" s="16" t="str">
        <x:v>turn887814search2</x:v>
      </x:c>
      <x:c r="L86" s="16" t="str">
        <x:v>Secondary public reference</x:v>
      </x:c>
      <x:c r="M86" s="16" t="str">
        <x:v>Secondary source identifies Krishna Rao as a panel lawyer; verify current panel status before production use.</x:v>
      </x:c>
      <x:c r="N86" s="17" t="b">
        <x:v>0</x:v>
      </x:c>
      <x:c r="O86" s="14" t="str">
        <x:v>Fallback / no narrower category in retrieved source</x:v>
      </x:c>
      <x:c r="P86" s="14" t="str">
        <x:v>Local/state directory coverage</x:v>
      </x:c>
    </x:row>
    <x:row r="87" ht="42" customHeight="1">
      <x:c r="A87" s="16" t="str">
        <x:v>SL086</x:v>
      </x:c>
      <x:c r="B87" s="16" t="str">
        <x:v>Andaman and Nicobar Islands</x:v>
      </x:c>
      <x:c r="C87" s="16" t="str">
        <x:v>Union Territory</x:v>
      </x:c>
      <x:c r="D87" s="16" t="str">
        <x:v>Preeja Menon</x:v>
      </x:c>
      <x:c r="E87" s="16" t="str">
        <x:v>Andaman and Nicobar Islands</x:v>
      </x:c>
      <x:c r="F87" s="22" t="str"/>
      <x:c r="G87" s="16" t="str">
        <x:v>General Practice</x:v>
      </x:c>
      <x:c r="H87" s="16" t="str">
        <x:v>General Practice</x:v>
      </x:c>
      <x:c r="I87" s="16" t="str">
        <x:v>Local legal-news report referencing DLSA panel lawyer</x:v>
      </x:c>
      <x:c r="J87" s="22" t="str">
        <x:v>https://andamanchronicle.net/</x:v>
      </x:c>
      <x:c r="K87" s="16" t="str">
        <x:v>turn887814search6</x:v>
      </x:c>
      <x:c r="L87" s="16" t="str">
        <x:v>Secondary public reference</x:v>
      </x:c>
      <x:c r="M87" s="16" t="str">
        <x:v>Secondary source identifies Preeja Menon as a DLSA panel lawyer; verify current panel status before production use.</x:v>
      </x:c>
      <x:c r="N87" s="17" t="b">
        <x:v>0</x:v>
      </x:c>
      <x:c r="O87" s="14" t="str">
        <x:v>Fallback / no narrower category in retrieved source</x:v>
      </x:c>
      <x:c r="P87" s="14" t="str">
        <x:v>Local/state directory coverage</x:v>
      </x:c>
    </x:row>
    <x:row r="88" ht="42" customHeight="1">
      <x:c r="A88" s="16" t="str">
        <x:v>SL087</x:v>
      </x:c>
      <x:c r="B88" s="16" t="str">
        <x:v>Andaman and Nicobar Islands</x:v>
      </x:c>
      <x:c r="C88" s="16" t="str">
        <x:v>Union Territory</x:v>
      </x:c>
      <x:c r="D88" s="16" t="str">
        <x:v>Satyendra Kumar</x:v>
      </x:c>
      <x:c r="E88" s="16" t="str">
        <x:v>Andaman and Nicobar Islands</x:v>
      </x:c>
      <x:c r="F88" s="22" t="str"/>
      <x:c r="G88" s="16" t="str">
        <x:v>General Practice</x:v>
      </x:c>
      <x:c r="H88" s="16" t="str">
        <x:v>General Practice</x:v>
      </x:c>
      <x:c r="I88" s="16" t="str">
        <x:v>Public panel-lawyer details document</x:v>
      </x:c>
      <x:c r="J88" s="22" t="str">
        <x:v>https://nalsa.gov.in/</x:v>
      </x:c>
      <x:c r="K88" s="16" t="str">
        <x:v>turn887814search56</x:v>
      </x:c>
      <x:c r="L88" s="16" t="str">
        <x:v>Secondary public panel reference</x:v>
      </x:c>
      <x:c r="M88" s="16" t="str">
        <x:v>Panel-lawyer document references Satyendra Kumar for A&amp;N; verify current panel status and direct contact before production.</x:v>
      </x:c>
      <x:c r="N88" s="17" t="b">
        <x:v>0</x:v>
      </x:c>
      <x:c r="O88" s="14" t="str">
        <x:v>Fallback / no narrower category in retrieved source</x:v>
      </x:c>
      <x:c r="P88" s="14" t="str">
        <x:v>Local/state directory coverage</x:v>
      </x:c>
    </x:row>
    <x:row r="89" ht="42" customHeight="1">
      <x:c r="A89" s="16" t="str">
        <x:v>SL088</x:v>
      </x:c>
      <x:c r="B89" s="16" t="str">
        <x:v>Chandigarh</x:v>
      </x:c>
      <x:c r="C89" s="16" t="str">
        <x:v>Union Territory</x:v>
      </x:c>
      <x:c r="D89" s="16" t="str">
        <x:v>Vishwas Mahajan</x:v>
      </x:c>
      <x:c r="E89" s="16" t="str">
        <x:v>Chandigarh</x:v>
      </x:c>
      <x:c r="F89" s="22" t="str">
        <x:v>9877131490</x:v>
      </x:c>
      <x:c r="G89" s="16" t="str">
        <x:v>General Practice</x:v>
      </x:c>
      <x:c r="H89" s="16" t="str">
        <x:v>General Practice</x:v>
      </x:c>
      <x:c r="I89" s="16" t="str">
        <x:v>Free Law / De Jure public directory</x:v>
      </x:c>
      <x:c r="J89" s="22" t="str">
        <x:v>https://www.freelaw.in/advocates-in-chandigarh</x:v>
      </x:c>
      <x:c r="K89" s="16" t="str">
        <x:v>turn844489search4</x:v>
      </x:c>
      <x:c r="L89" s="16" t="str">
        <x:v>Public directory listing</x:v>
      </x:c>
      <x:c r="M89" s="16" t="str">
        <x:v>Narrower specialization not shown in retrieved directory result.</x:v>
      </x:c>
      <x:c r="N89" s="17" t="b">
        <x:v>1</x:v>
      </x:c>
      <x:c r="O89" s="14" t="str">
        <x:v>Fallback / no narrower category in retrieved source</x:v>
      </x:c>
      <x:c r="P89" s="14" t="str">
        <x:v>Local/state directory coverage</x:v>
      </x:c>
    </x:row>
    <x:row r="90" ht="42" customHeight="1">
      <x:c r="A90" s="16" t="str">
        <x:v>SL089</x:v>
      </x:c>
      <x:c r="B90" s="16" t="str">
        <x:v>Chandigarh</x:v>
      </x:c>
      <x:c r="C90" s="16" t="str">
        <x:v>Union Territory</x:v>
      </x:c>
      <x:c r="D90" s="16" t="str">
        <x:v>Naveen Sheokand</x:v>
      </x:c>
      <x:c r="E90" s="16" t="str">
        <x:v>Chandigarh</x:v>
      </x:c>
      <x:c r="F90" s="22" t="str">
        <x:v>9988200030</x:v>
      </x:c>
      <x:c r="G90" s="16" t="str">
        <x:v>General Practice</x:v>
      </x:c>
      <x:c r="H90" s="16" t="str">
        <x:v>General Practice</x:v>
      </x:c>
      <x:c r="I90" s="16" t="str">
        <x:v>Free Law / De Jure public directory</x:v>
      </x:c>
      <x:c r="J90" s="22" t="str">
        <x:v>https://www.freelaw.in/advocates-in-chandigarh</x:v>
      </x:c>
      <x:c r="K90" s="16" t="str">
        <x:v>turn844489search4</x:v>
      </x:c>
      <x:c r="L90" s="16" t="str">
        <x:v>Public directory listing</x:v>
      </x:c>
      <x:c r="M90" s="16" t="str">
        <x:v>Narrower specialization not shown in retrieved directory result.</x:v>
      </x:c>
      <x:c r="N90" s="17" t="b">
        <x:v>1</x:v>
      </x:c>
      <x:c r="O90" s="14" t="str">
        <x:v>Fallback / no narrower category in retrieved source</x:v>
      </x:c>
      <x:c r="P90" s="14" t="str">
        <x:v>Local/state directory coverage</x:v>
      </x:c>
    </x:row>
    <x:row r="91" ht="42" customHeight="1">
      <x:c r="A91" s="16" t="str">
        <x:v>SL090</x:v>
      </x:c>
      <x:c r="B91" s="16" t="str">
        <x:v>Chandigarh</x:v>
      </x:c>
      <x:c r="C91" s="16" t="str">
        <x:v>Union Territory</x:v>
      </x:c>
      <x:c r="D91" s="16" t="str">
        <x:v>NEHA GUPTA</x:v>
      </x:c>
      <x:c r="E91" s="16" t="str">
        <x:v>Chandigarh</x:v>
      </x:c>
      <x:c r="F91" s="22" t="str">
        <x:v>6239312180; 998895152</x:v>
      </x:c>
      <x:c r="G91" s="16" t="str">
        <x:v>General Practice</x:v>
      </x:c>
      <x:c r="H91" s="16" t="str">
        <x:v>General Practice</x:v>
      </x:c>
      <x:c r="I91" s="16" t="str">
        <x:v>Free Law / De Jure public directory</x:v>
      </x:c>
      <x:c r="J91" s="22" t="str">
        <x:v>https://www.freelaw.in/advocates-in-chandigarh</x:v>
      </x:c>
      <x:c r="K91" s="16" t="str">
        <x:v>turn844489search4</x:v>
      </x:c>
      <x:c r="L91" s="16" t="str">
        <x:v>Public directory listing</x:v>
      </x:c>
      <x:c r="M91" s="16" t="str">
        <x:v>Narrower specialization not shown in retrieved directory result.</x:v>
      </x:c>
      <x:c r="N91" s="17" t="b">
        <x:v>1</x:v>
      </x:c>
      <x:c r="O91" s="14" t="str">
        <x:v>Fallback / no narrower category in retrieved source</x:v>
      </x:c>
      <x:c r="P91" s="14" t="str">
        <x:v>Local/state directory coverage</x:v>
      </x:c>
    </x:row>
    <x:row r="92" ht="42" customHeight="1">
      <x:c r="A92" s="16" t="str">
        <x:v>SL091</x:v>
      </x:c>
      <x:c r="B92" s="16" t="str">
        <x:v>Dadra and Nagar Haveli and Daman and Diu</x:v>
      </x:c>
      <x:c r="C92" s="16" t="str">
        <x:v>Union Territory</x:v>
      </x:c>
      <x:c r="D92" s="16" t="str">
        <x:v>Smt Seema V Hansraj</x:v>
      </x:c>
      <x:c r="E92" s="16" t="str">
        <x:v>Daman</x:v>
      </x:c>
      <x:c r="F92" s="22" t="str"/>
      <x:c r="G92" s="16" t="str">
        <x:v>General Practice</x:v>
      </x:c>
      <x:c r="H92" s="16" t="str">
        <x:v>General Practice</x:v>
      </x:c>
      <x:c r="I92" s="16" t="str">
        <x:v>Daman &amp; Diu State Legal Services Authority panel list</x:v>
      </x:c>
      <x:c r="J92" s="22" t="str">
        <x:v>https://nalsa.gov.in/</x:v>
      </x:c>
      <x:c r="K92" s="16" t="str">
        <x:v>turn582891view2</x:v>
      </x:c>
      <x:c r="L92" s="16" t="str">
        <x:v>Official legal-services panel list</x:v>
      </x:c>
      <x:c r="M92" s="16" t="str">
        <x:v>Official panel list entry from the Daman &amp; Diu legal-services system; contact not shown in retrieved text.</x:v>
      </x:c>
      <x:c r="N92" s="17" t="b">
        <x:v>0</x:v>
      </x:c>
      <x:c r="O92" s="14" t="str">
        <x:v>Fallback / no narrower category in retrieved source</x:v>
      </x:c>
      <x:c r="P92" s="14" t="str">
        <x:v>Local/state directory coverage</x:v>
      </x:c>
    </x:row>
    <x:row r="93" ht="42" customHeight="1">
      <x:c r="A93" s="16" t="str">
        <x:v>SL092</x:v>
      </x:c>
      <x:c r="B93" s="16" t="str">
        <x:v>Dadra and Nagar Haveli and Daman and Diu</x:v>
      </x:c>
      <x:c r="C93" s="16" t="str">
        <x:v>Union Territory</x:v>
      </x:c>
      <x:c r="D93" s="16" t="str">
        <x:v>Shri Manojkumar S Chudasama</x:v>
      </x:c>
      <x:c r="E93" s="16" t="str">
        <x:v>Daman</x:v>
      </x:c>
      <x:c r="F93" s="22" t="str"/>
      <x:c r="G93" s="16" t="str">
        <x:v>General Practice</x:v>
      </x:c>
      <x:c r="H93" s="16" t="str">
        <x:v>General Practice</x:v>
      </x:c>
      <x:c r="I93" s="16" t="str">
        <x:v>Daman &amp; Diu State Legal Services Authority panel list</x:v>
      </x:c>
      <x:c r="J93" s="22" t="str">
        <x:v>https://nalsa.gov.in/</x:v>
      </x:c>
      <x:c r="K93" s="16" t="str">
        <x:v>turn582891view2</x:v>
      </x:c>
      <x:c r="L93" s="16" t="str">
        <x:v>Official legal-services panel list</x:v>
      </x:c>
      <x:c r="M93" s="16" t="str">
        <x:v>Official panel list entry from the Daman &amp; Diu legal-services system; contact not shown in retrieved text.</x:v>
      </x:c>
      <x:c r="N93" s="17" t="b">
        <x:v>0</x:v>
      </x:c>
      <x:c r="O93" s="14" t="str">
        <x:v>Fallback / no narrower category in retrieved source</x:v>
      </x:c>
      <x:c r="P93" s="14" t="str">
        <x:v>Local/state directory coverage</x:v>
      </x:c>
    </x:row>
    <x:row r="94" ht="42" customHeight="1">
      <x:c r="A94" s="16" t="str">
        <x:v>SL093</x:v>
      </x:c>
      <x:c r="B94" s="16" t="str">
        <x:v>Dadra and Nagar Haveli and Daman and Diu</x:v>
      </x:c>
      <x:c r="C94" s="16" t="str">
        <x:v>Union Territory</x:v>
      </x:c>
      <x:c r="D94" s="16" t="str">
        <x:v>Smt Pooja Sharma</x:v>
      </x:c>
      <x:c r="E94" s="16" t="str">
        <x:v>Daman</x:v>
      </x:c>
      <x:c r="F94" s="22" t="str"/>
      <x:c r="G94" s="16" t="str">
        <x:v>General Practice</x:v>
      </x:c>
      <x:c r="H94" s="16" t="str">
        <x:v>General Practice</x:v>
      </x:c>
      <x:c r="I94" s="16" t="str">
        <x:v>Daman &amp; Diu State Legal Services Authority panel list</x:v>
      </x:c>
      <x:c r="J94" s="22" t="str">
        <x:v>https://nalsa.gov.in/</x:v>
      </x:c>
      <x:c r="K94" s="16" t="str">
        <x:v>turn582891view2</x:v>
      </x:c>
      <x:c r="L94" s="16" t="str">
        <x:v>Official legal-services panel list</x:v>
      </x:c>
      <x:c r="M94" s="16" t="str">
        <x:v>Official panel list entry from the Daman &amp; Diu legal-services system; contact not shown in retrieved text.</x:v>
      </x:c>
      <x:c r="N94" s="17" t="b">
        <x:v>0</x:v>
      </x:c>
      <x:c r="O94" s="14" t="str">
        <x:v>Fallback / no narrower category in retrieved source</x:v>
      </x:c>
      <x:c r="P94" s="14" t="str">
        <x:v>Local/state directory coverage</x:v>
      </x:c>
    </x:row>
    <x:row r="95" ht="42" customHeight="1">
      <x:c r="A95" s="16" t="str">
        <x:v>SL094</x:v>
      </x:c>
      <x:c r="B95" s="16" t="str">
        <x:v>Delhi</x:v>
      </x:c>
      <x:c r="C95" s="16" t="str">
        <x:v>Union Territory</x:v>
      </x:c>
      <x:c r="D95" s="16" t="str">
        <x:v>Sachin Sharma</x:v>
      </x:c>
      <x:c r="E95" s="16" t="str">
        <x:v>Lucknow / Delhi High Court practice</x:v>
      </x:c>
      <x:c r="F95" s="22" t="str">
        <x:v>7754837924; 9580390154</x:v>
      </x:c>
      <x:c r="G95" s="16" t="str">
        <x:v>General Practice</x:v>
      </x:c>
      <x:c r="H95" s="16" t="str">
        <x:v>General Practice</x:v>
      </x:c>
      <x:c r="I95" s="16" t="str">
        <x:v>Free Law / De Jure public directory</x:v>
      </x:c>
      <x:c r="J95" s="22" t="str">
        <x:v>https://www.freelaw.in/advocates-in-uttar-pradesh-state</x:v>
      </x:c>
      <x:c r="K95" s="16" t="str">
        <x:v>turn844489search1</x:v>
      </x:c>
      <x:c r="L95" s="16" t="str">
        <x:v>Public directory listing</x:v>
      </x:c>
      <x:c r="M95" s="16" t="str">
        <x:v>Seeded under Delhi because the public profile explicitly lists Delhi High Court practice; this is court-jurisdiction coverage, not Delhi residence.</x:v>
      </x:c>
      <x:c r="N95" s="17" t="b">
        <x:v>1</x:v>
      </x:c>
      <x:c r="O95" s="14" t="str">
        <x:v>Fallback / no narrower category in retrieved source</x:v>
      </x:c>
      <x:c r="P95" s="14" t="str">
        <x:v>Court-jurisdiction coverage; verify Delhi residence/current local practice</x:v>
      </x:c>
    </x:row>
    <x:row r="96" ht="42" customHeight="1">
      <x:c r="A96" s="16" t="str">
        <x:v>SL095</x:v>
      </x:c>
      <x:c r="B96" s="16" t="str">
        <x:v>Delhi</x:v>
      </x:c>
      <x:c r="C96" s="16" t="str">
        <x:v>Union Territory</x:v>
      </x:c>
      <x:c r="D96" s="16" t="str">
        <x:v>Jai Prakash</x:v>
      </x:c>
      <x:c r="E96" s="16" t="str">
        <x:v>Shimla / Delhi High Court practice</x:v>
      </x:c>
      <x:c r="F96" s="22" t="str">
        <x:v>9805056323</x:v>
      </x:c>
      <x:c r="G96" s="16" t="str">
        <x:v>General Practice</x:v>
      </x:c>
      <x:c r="H96" s="16" t="str">
        <x:v>General Practice</x:v>
      </x:c>
      <x:c r="I96" s="16" t="str">
        <x:v>Free Law / De Jure public directory</x:v>
      </x:c>
      <x:c r="J96" s="22" t="str">
        <x:v>https://www.freelaw.in/advocates-in-himachal-pradesh-state</x:v>
      </x:c>
      <x:c r="K96" s="16" t="str">
        <x:v>turn898378view3</x:v>
      </x:c>
      <x:c r="L96" s="16" t="str">
        <x:v>Public directory listing</x:v>
      </x:c>
      <x:c r="M96" s="16" t="str">
        <x:v>Seeded under Delhi because the public profile lists Delhi High Court practice; this is court-jurisdiction coverage, not Delhi residence.</x:v>
      </x:c>
      <x:c r="N96" s="17" t="b">
        <x:v>1</x:v>
      </x:c>
      <x:c r="O96" s="14" t="str">
        <x:v>Fallback / no narrower category in retrieved source</x:v>
      </x:c>
      <x:c r="P96" s="14" t="str">
        <x:v>Court-jurisdiction coverage; verify Delhi residence/current local practice</x:v>
      </x:c>
    </x:row>
    <x:row r="97" ht="42" customHeight="1">
      <x:c r="A97" s="16" t="str">
        <x:v>SL096</x:v>
      </x:c>
      <x:c r="B97" s="16" t="str">
        <x:v>Delhi</x:v>
      </x:c>
      <x:c r="C97" s="16" t="str">
        <x:v>Union Territory</x:v>
      </x:c>
      <x:c r="D97" s="16" t="str">
        <x:v>NEHA GUPTA</x:v>
      </x:c>
      <x:c r="E97" s="16" t="str">
        <x:v>Chandigarh / Delhi High Court practice</x:v>
      </x:c>
      <x:c r="F97" s="22" t="str">
        <x:v>6239312180; 998895152</x:v>
      </x:c>
      <x:c r="G97" s="16" t="str">
        <x:v>General Practice</x:v>
      </x:c>
      <x:c r="H97" s="16" t="str">
        <x:v>General Practice</x:v>
      </x:c>
      <x:c r="I97" s="16" t="str">
        <x:v>Free Law / De Jure public directory</x:v>
      </x:c>
      <x:c r="J97" s="22" t="str">
        <x:v>https://www.freelaw.in/advocates-in-chandigarh</x:v>
      </x:c>
      <x:c r="K97" s="16" t="str">
        <x:v>turn844489search4</x:v>
      </x:c>
      <x:c r="L97" s="16" t="str">
        <x:v>Public directory listing</x:v>
      </x:c>
      <x:c r="M97" s="16" t="str">
        <x:v>Seeded under Delhi because the public profile lists Delhi High Court practice; this is court-jurisdiction coverage, not Delhi residence.</x:v>
      </x:c>
      <x:c r="N97" s="17" t="b">
        <x:v>1</x:v>
      </x:c>
      <x:c r="O97" s="14" t="str">
        <x:v>Fallback / no narrower category in retrieved source</x:v>
      </x:c>
      <x:c r="P97" s="14" t="str">
        <x:v>Court-jurisdiction coverage; verify Delhi residence/current local practice</x:v>
      </x:c>
    </x:row>
    <x:row r="98" ht="42" customHeight="1">
      <x:c r="A98" s="16" t="str">
        <x:v>SL097</x:v>
      </x:c>
      <x:c r="B98" s="16" t="str">
        <x:v>Jammu and Kashmir</x:v>
      </x:c>
      <x:c r="C98" s="16" t="str">
        <x:v>Union Territory</x:v>
      </x:c>
      <x:c r="D98" s="16" t="str">
        <x:v>Anurag Bakshi</x:v>
      </x:c>
      <x:c r="E98" s="16" t="str">
        <x:v>Jammu</x:v>
      </x:c>
      <x:c r="F98" s="22" t="str">
        <x:v>9858052210</x:v>
      </x:c>
      <x:c r="G98" s="16" t="str">
        <x:v>General Practice</x:v>
      </x:c>
      <x:c r="H98" s="16" t="str">
        <x:v>General Practice</x:v>
      </x:c>
      <x:c r="I98" s="16" t="str">
        <x:v>Free Law / De Jure public directory</x:v>
      </x:c>
      <x:c r="J98" s="22" t="str">
        <x:v>https://www.freelaw.in/advocates-in-jammu-and-kashmir-state</x:v>
      </x:c>
      <x:c r="K98" s="16" t="str">
        <x:v>turn844489search2</x:v>
      </x:c>
      <x:c r="L98" s="16" t="str">
        <x:v>Public directory listing</x:v>
      </x:c>
      <x:c r="M98" s="16" t="str">
        <x:v>Narrower specialization not shown in retrieved directory result.</x:v>
      </x:c>
      <x:c r="N98" s="17" t="b">
        <x:v>1</x:v>
      </x:c>
      <x:c r="O98" s="14" t="str">
        <x:v>Fallback / no narrower category in retrieved source</x:v>
      </x:c>
      <x:c r="P98" s="14" t="str">
        <x:v>Local/state directory coverage</x:v>
      </x:c>
    </x:row>
    <x:row r="99" ht="42" customHeight="1">
      <x:c r="A99" s="16" t="str">
        <x:v>SL098</x:v>
      </x:c>
      <x:c r="B99" s="16" t="str">
        <x:v>Jammu and Kashmir</x:v>
      </x:c>
      <x:c r="C99" s="16" t="str">
        <x:v>Union Territory</x:v>
      </x:c>
      <x:c r="D99" s="16" t="str">
        <x:v>ADVOCATE ISHFAQ AHMAD SHAH</x:v>
      </x:c>
      <x:c r="E99" s="16" t="str">
        <x:v>Anantnag</x:v>
      </x:c>
      <x:c r="F99" s="22" t="str">
        <x:v>6006208680</x:v>
      </x:c>
      <x:c r="G99" s="16" t="str">
        <x:v>General Practice</x:v>
      </x:c>
      <x:c r="H99" s="16" t="str">
        <x:v>General Practice</x:v>
      </x:c>
      <x:c r="I99" s="16" t="str">
        <x:v>Free Law / De Jure public directory</x:v>
      </x:c>
      <x:c r="J99" s="22" t="str">
        <x:v>https://www.freelaw.in/advocates-in-jammu-and-kashmir-state</x:v>
      </x:c>
      <x:c r="K99" s="16" t="str">
        <x:v>turn844489search2</x:v>
      </x:c>
      <x:c r="L99" s="16" t="str">
        <x:v>Public directory listing</x:v>
      </x:c>
      <x:c r="M99" s="16" t="str">
        <x:v>Narrower specialization not shown in retrieved directory result.</x:v>
      </x:c>
      <x:c r="N99" s="17" t="b">
        <x:v>1</x:v>
      </x:c>
      <x:c r="O99" s="14" t="str">
        <x:v>Fallback / no narrower category in retrieved source</x:v>
      </x:c>
      <x:c r="P99" s="14" t="str">
        <x:v>Local/state directory coverage</x:v>
      </x:c>
    </x:row>
    <x:row r="100" ht="42" customHeight="1">
      <x:c r="A100" s="16" t="str">
        <x:v>SL099</x:v>
      </x:c>
      <x:c r="B100" s="16" t="str">
        <x:v>Jammu and Kashmir</x:v>
      </x:c>
      <x:c r="C100" s="16" t="str">
        <x:v>Union Territory</x:v>
      </x:c>
      <x:c r="D100" s="16" t="str">
        <x:v>ahtsham haq</x:v>
      </x:c>
      <x:c r="E100" s="16" t="str">
        <x:v>Jammu</x:v>
      </x:c>
      <x:c r="F100" s="22" t="str">
        <x:v>8899237894</x:v>
      </x:c>
      <x:c r="G100" s="16" t="str">
        <x:v>General Practice</x:v>
      </x:c>
      <x:c r="H100" s="16" t="str">
        <x:v>General Practice</x:v>
      </x:c>
      <x:c r="I100" s="16" t="str">
        <x:v>Free Law / De Jure public directory</x:v>
      </x:c>
      <x:c r="J100" s="22" t="str">
        <x:v>https://www.freelaw.in/advocates-in-jammu-and-kashmir-state</x:v>
      </x:c>
      <x:c r="K100" s="16" t="str">
        <x:v>turn844489search2</x:v>
      </x:c>
      <x:c r="L100" s="16" t="str">
        <x:v>Public directory listing</x:v>
      </x:c>
      <x:c r="M100" s="16" t="str">
        <x:v>Narrower specialization not shown in retrieved directory result.</x:v>
      </x:c>
      <x:c r="N100" s="17" t="b">
        <x:v>1</x:v>
      </x:c>
      <x:c r="O100" s="14" t="str">
        <x:v>Fallback / no narrower category in retrieved source</x:v>
      </x:c>
      <x:c r="P100" s="14" t="str">
        <x:v>Local/state directory coverage</x:v>
      </x:c>
    </x:row>
    <x:row r="101" ht="42" customHeight="1">
      <x:c r="A101" s="16" t="str">
        <x:v>SL100</x:v>
      </x:c>
      <x:c r="B101" s="16" t="str">
        <x:v>Ladakh</x:v>
      </x:c>
      <x:c r="C101" s="16" t="str">
        <x:v>Union Territory</x:v>
      </x:c>
      <x:c r="D101" s="16" t="str">
        <x:v>Thinles Angmo</x:v>
      </x:c>
      <x:c r="E101" s="16" t="str">
        <x:v>Ladakh</x:v>
      </x:c>
      <x:c r="F101" s="22" t="str">
        <x:v>9419178998</x:v>
      </x:c>
      <x:c r="G101" s="16" t="str">
        <x:v>General Practice</x:v>
      </x:c>
      <x:c r="H101" s="16" t="str">
        <x:v>General Practice</x:v>
      </x:c>
      <x:c r="I101" s="16" t="str">
        <x:v>Ladakh Legal Services Authority official panel list</x:v>
      </x:c>
      <x:c r="J101" s="22" t="str">
        <x:v>https://nalsa.gov.in/</x:v>
      </x:c>
      <x:c r="K101" s="16" t="str">
        <x:v>turn247391search0</x:v>
      </x:c>
      <x:c r="L101" s="16" t="str">
        <x:v>Official legal-services panel list</x:v>
      </x:c>
      <x:c r="M101" s="16" t="str">
        <x:v>Official panel listing includes enrolment number and phone; no narrower specialty in retrieved result.</x:v>
      </x:c>
      <x:c r="N101" s="17" t="b">
        <x:v>1</x:v>
      </x:c>
      <x:c r="O101" s="14" t="str">
        <x:v>Fallback / no narrower category in retrieved source</x:v>
      </x:c>
      <x:c r="P101" s="14" t="str">
        <x:v>Local/state directory coverage</x:v>
      </x:c>
    </x:row>
    <x:row r="102" ht="42" customHeight="1">
      <x:c r="A102" s="16" t="str">
        <x:v>SL101</x:v>
      </x:c>
      <x:c r="B102" s="16" t="str">
        <x:v>Ladakh</x:v>
      </x:c>
      <x:c r="C102" s="16" t="str">
        <x:v>Union Territory</x:v>
      </x:c>
      <x:c r="D102" s="16" t="str">
        <x:v>Eshey Lhamo</x:v>
      </x:c>
      <x:c r="E102" s="16" t="str">
        <x:v>Ladakh</x:v>
      </x:c>
      <x:c r="F102" s="22" t="str">
        <x:v>9622992765</x:v>
      </x:c>
      <x:c r="G102" s="16" t="str">
        <x:v>General Practice</x:v>
      </x:c>
      <x:c r="H102" s="16" t="str">
        <x:v>General Practice</x:v>
      </x:c>
      <x:c r="I102" s="16" t="str">
        <x:v>Ladakh Legal Services Authority official panel list</x:v>
      </x:c>
      <x:c r="J102" s="22" t="str">
        <x:v>https://nalsa.gov.in/</x:v>
      </x:c>
      <x:c r="K102" s="16" t="str">
        <x:v>turn247391search0</x:v>
      </x:c>
      <x:c r="L102" s="16" t="str">
        <x:v>Official legal-services panel list</x:v>
      </x:c>
      <x:c r="M102" s="16" t="str">
        <x:v>Official panel listing includes enrolment number and phone; no narrower specialty in retrieved result.</x:v>
      </x:c>
      <x:c r="N102" s="17" t="b">
        <x:v>1</x:v>
      </x:c>
      <x:c r="O102" s="14" t="str">
        <x:v>Fallback / no narrower category in retrieved source</x:v>
      </x:c>
      <x:c r="P102" s="14" t="str">
        <x:v>Local/state directory coverage</x:v>
      </x:c>
    </x:row>
    <x:row r="103" ht="42" customHeight="1">
      <x:c r="A103" s="16" t="str">
        <x:v>SL102</x:v>
      </x:c>
      <x:c r="B103" s="16" t="str">
        <x:v>Ladakh</x:v>
      </x:c>
      <x:c r="C103" s="16" t="str">
        <x:v>Union Territory</x:v>
      </x:c>
      <x:c r="D103" s="16" t="str">
        <x:v>Tsewang Tamchos</x:v>
      </x:c>
      <x:c r="E103" s="16" t="str">
        <x:v>Ladakh</x:v>
      </x:c>
      <x:c r="F103" s="22" t="str">
        <x:v>8492964891</x:v>
      </x:c>
      <x:c r="G103" s="16" t="str">
        <x:v>General Practice</x:v>
      </x:c>
      <x:c r="H103" s="16" t="str">
        <x:v>General Practice</x:v>
      </x:c>
      <x:c r="I103" s="16" t="str">
        <x:v>Ladakh Legal Services Authority official panel list</x:v>
      </x:c>
      <x:c r="J103" s="22" t="str">
        <x:v>https://nalsa.gov.in/</x:v>
      </x:c>
      <x:c r="K103" s="16" t="str">
        <x:v>turn247391search0</x:v>
      </x:c>
      <x:c r="L103" s="16" t="str">
        <x:v>Official legal-services panel list</x:v>
      </x:c>
      <x:c r="M103" s="16" t="str">
        <x:v>Official panel listing includes enrolment number and phone; no narrower specialty in retrieved result.</x:v>
      </x:c>
      <x:c r="N103" s="17" t="b">
        <x:v>1</x:v>
      </x:c>
      <x:c r="O103" s="14" t="str">
        <x:v>Fallback / no narrower category in retrieved source</x:v>
      </x:c>
      <x:c r="P103" s="14" t="str">
        <x:v>Local/state directory coverage</x:v>
      </x:c>
    </x:row>
    <x:row r="104" ht="42" customHeight="1">
      <x:c r="A104" s="16" t="str">
        <x:v>SL103</x:v>
      </x:c>
      <x:c r="B104" s="16" t="str">
        <x:v>Lakshadweep</x:v>
      </x:c>
      <x:c r="C104" s="16" t="str">
        <x:v>Union Territory</x:v>
      </x:c>
      <x:c r="D104" s="16" t="str">
        <x:v>Enoch David Simon Joel</x:v>
      </x:c>
      <x:c r="E104" s="16" t="str">
        <x:v>Lakshadweep-related proceedings</x:v>
      </x:c>
      <x:c r="F104" s="22" t="str"/>
      <x:c r="G104" s="16" t="str">
        <x:v>General Practice</x:v>
      </x:c>
      <x:c r="H104" s="16" t="str">
        <x:v>General Practice</x:v>
      </x:c>
      <x:c r="I104" s="16" t="str">
        <x:v>Indian Kanoon court-record pages</x:v>
      </x:c>
      <x:c r="J104" s="22" t="str">
        <x:v>https://indiankanoon.org/</x:v>
      </x:c>
      <x:c r="K104" s="16" t="str">
        <x:v>turn887814search0</x:v>
      </x:c>
      <x:c r="L104" s="16" t="str">
        <x:v>Court-record mention</x:v>
      </x:c>
      <x:c r="M104" s="16" t="str">
        <x:v>Named as an advocate/amici curiae in a Lakshadweep-related High Court proceeding; contact not exposed in retrieved result.</x:v>
      </x:c>
      <x:c r="N104" s="17" t="b">
        <x:v>0</x:v>
      </x:c>
      <x:c r="O104" s="14" t="str">
        <x:v>Fallback / no narrower category in retrieved source</x:v>
      </x:c>
      <x:c r="P104" s="14" t="str">
        <x:v>Court-record / jurisdictional mention; verify current local practice</x:v>
      </x:c>
    </x:row>
    <x:row r="105" ht="42" customHeight="1">
      <x:c r="A105" s="16" t="str">
        <x:v>SL104</x:v>
      </x:c>
      <x:c r="B105" s="16" t="str">
        <x:v>Lakshadweep</x:v>
      </x:c>
      <x:c r="C105" s="16" t="str">
        <x:v>Union Territory</x:v>
      </x:c>
      <x:c r="D105" s="16" t="str">
        <x:v>Aashique Akthar Hajjigothi</x:v>
      </x:c>
      <x:c r="E105" s="16" t="str">
        <x:v>Lakshadweep-related proceedings</x:v>
      </x:c>
      <x:c r="F105" s="22" t="str"/>
      <x:c r="G105" s="16" t="str">
        <x:v>General Practice</x:v>
      </x:c>
      <x:c r="H105" s="16" t="str">
        <x:v>General Practice</x:v>
      </x:c>
      <x:c r="I105" s="16" t="str">
        <x:v>Indian Kanoon court-record pages</x:v>
      </x:c>
      <x:c r="J105" s="22" t="str">
        <x:v>https://indiankanoon.org/</x:v>
      </x:c>
      <x:c r="K105" s="16" t="str">
        <x:v>turn887814search0</x:v>
      </x:c>
      <x:c r="L105" s="16" t="str">
        <x:v>Court-record mention</x:v>
      </x:c>
      <x:c r="M105" s="16" t="str">
        <x:v>Named as an advocate/amici curiae in a Lakshadweep-related High Court proceeding; contact not exposed in retrieved result.</x:v>
      </x:c>
      <x:c r="N105" s="17" t="b">
        <x:v>0</x:v>
      </x:c>
      <x:c r="O105" s="14" t="str">
        <x:v>Fallback / no narrower category in retrieved source</x:v>
      </x:c>
      <x:c r="P105" s="14" t="str">
        <x:v>Court-record / jurisdictional mention; verify current local practice</x:v>
      </x:c>
    </x:row>
    <x:row r="106" ht="42" customHeight="1">
      <x:c r="A106" s="16" t="str">
        <x:v>SL105</x:v>
      </x:c>
      <x:c r="B106" s="16" t="str">
        <x:v>Lakshadweep</x:v>
      </x:c>
      <x:c r="C106" s="16" t="str">
        <x:v>Union Territory</x:v>
      </x:c>
      <x:c r="D106" s="16" t="str">
        <x:v>K.S. Prenjith Kumar</x:v>
      </x:c>
      <x:c r="E106" s="16" t="str">
        <x:v>Lakshadweep-related proceedings</x:v>
      </x:c>
      <x:c r="F106" s="22" t="str"/>
      <x:c r="G106" s="16" t="str">
        <x:v>General Practice</x:v>
      </x:c>
      <x:c r="H106" s="16" t="str">
        <x:v>General Practice</x:v>
      </x:c>
      <x:c r="I106" s="16" t="str">
        <x:v>Indian Kanoon court-record pages</x:v>
      </x:c>
      <x:c r="J106" s="22" t="str">
        <x:v>https://indiankanoon.org/</x:v>
      </x:c>
      <x:c r="K106" s="16" t="str">
        <x:v>turn887814search7</x:v>
      </x:c>
      <x:c r="L106" s="16" t="str">
        <x:v>Court-record mention</x:v>
      </x:c>
      <x:c r="M106" s="16" t="str">
        <x:v>Named counsel in Lakshadweep-related proceedings; verify current Lakshadweep practice/contact before production use.</x:v>
      </x:c>
      <x:c r="N106" s="17" t="b">
        <x:v>0</x:v>
      </x:c>
      <x:c r="O106" s="14" t="str">
        <x:v>Fallback / no narrower category in retrieved source</x:v>
      </x:c>
      <x:c r="P106" s="14" t="str">
        <x:v>Court-record / jurisdictional mention; verify current local practice</x:v>
      </x:c>
    </x:row>
    <x:row r="107" ht="42" customHeight="1">
      <x:c r="A107" s="16" t="str">
        <x:v>SL106</x:v>
      </x:c>
      <x:c r="B107" s="16" t="str">
        <x:v>Puducherry</x:v>
      </x:c>
      <x:c r="C107" s="16" t="str">
        <x:v>Union Territory</x:v>
      </x:c>
      <x:c r="D107" s="16" t="str">
        <x:v>Selvam P</x:v>
      </x:c>
      <x:c r="E107" s="16" t="str">
        <x:v>Pondicherry</x:v>
      </x:c>
      <x:c r="F107" s="22" t="str">
        <x:v>9159793197</x:v>
      </x:c>
      <x:c r="G107" s="16" t="str">
        <x:v>General Practice</x:v>
      </x:c>
      <x:c r="H107" s="16" t="str">
        <x:v>General Practice</x:v>
      </x:c>
      <x:c r="I107" s="16" t="str">
        <x:v>Free Law / De Jure public directory</x:v>
      </x:c>
      <x:c r="J107" s="22" t="str">
        <x:v>https://www.freelaw.in/advocates-in-puducherry</x:v>
      </x:c>
      <x:c r="K107" s="16" t="str">
        <x:v>turn844489search5</x:v>
      </x:c>
      <x:c r="L107" s="16" t="str">
        <x:v>Public directory listing</x:v>
      </x:c>
      <x:c r="M107" s="16" t="str">
        <x:v>Narrower specialization not shown in retrieved directory result.</x:v>
      </x:c>
      <x:c r="N107" s="17" t="b">
        <x:v>1</x:v>
      </x:c>
      <x:c r="O107" s="14" t="str">
        <x:v>Fallback / no narrower category in retrieved source</x:v>
      </x:c>
      <x:c r="P107" s="14" t="str">
        <x:v>Local/state directory coverage</x:v>
      </x:c>
    </x:row>
    <x:row r="108" ht="42" customHeight="1">
      <x:c r="A108" s="16" t="str">
        <x:v>SL107</x:v>
      </x:c>
      <x:c r="B108" s="16" t="str">
        <x:v>Puducherry</x:v>
      </x:c>
      <x:c r="C108" s="16" t="str">
        <x:v>Union Territory</x:v>
      </x:c>
      <x:c r="D108" s="16" t="str">
        <x:v>Zivanandam Sambandam Ramalingam</x:v>
      </x:c>
      <x:c r="E108" s="16" t="str">
        <x:v>Puducherry</x:v>
      </x:c>
      <x:c r="F108" s="22" t="str">
        <x:v>9443029716</x:v>
      </x:c>
      <x:c r="G108" s="16" t="str">
        <x:v>General Practice</x:v>
      </x:c>
      <x:c r="H108" s="16" t="str">
        <x:v>General Practice</x:v>
      </x:c>
      <x:c r="I108" s="16" t="str">
        <x:v>Free Law / De Jure public directory</x:v>
      </x:c>
      <x:c r="J108" s="22" t="str">
        <x:v>https://www.freelaw.in/advocates-in-puducherry</x:v>
      </x:c>
      <x:c r="K108" s="16" t="str">
        <x:v>turn844489search5</x:v>
      </x:c>
      <x:c r="L108" s="16" t="str">
        <x:v>Public directory listing</x:v>
      </x:c>
      <x:c r="M108" s="16" t="str">
        <x:v>Narrower specialization not shown in retrieved directory result.</x:v>
      </x:c>
      <x:c r="N108" s="17" t="b">
        <x:v>1</x:v>
      </x:c>
      <x:c r="O108" s="14" t="str">
        <x:v>Fallback / no narrower category in retrieved source</x:v>
      </x:c>
      <x:c r="P108" s="14" t="str">
        <x:v>Local/state directory coverage</x:v>
      </x:c>
    </x:row>
    <x:row r="109" ht="42" customHeight="1">
      <x:c r="A109" s="16" t="str">
        <x:v>SL108</x:v>
      </x:c>
      <x:c r="B109" s="16" t="str">
        <x:v>Puducherry</x:v>
      </x:c>
      <x:c r="C109" s="16" t="str">
        <x:v>Union Territory</x:v>
      </x:c>
      <x:c r="D109" s="16" t="str">
        <x:v>Ravindran K</x:v>
      </x:c>
      <x:c r="E109" s="16" t="str">
        <x:v>Puducherry</x:v>
      </x:c>
      <x:c r="F109" s="22" t="str">
        <x:v>7708813804</x:v>
      </x:c>
      <x:c r="G109" s="16" t="str">
        <x:v>General Practice</x:v>
      </x:c>
      <x:c r="H109" s="16" t="str">
        <x:v>General Practice</x:v>
      </x:c>
      <x:c r="I109" s="16" t="str">
        <x:v>Free Law / De Jure public directory</x:v>
      </x:c>
      <x:c r="J109" s="22" t="str">
        <x:v>https://www.freelaw.in/advocates-in-puducherry</x:v>
      </x:c>
      <x:c r="K109" s="16" t="str">
        <x:v>turn844489search5</x:v>
      </x:c>
      <x:c r="L109" s="16" t="str">
        <x:v>Public directory listing</x:v>
      </x:c>
      <x:c r="M109" s="16" t="str">
        <x:v>Narrower specialization not shown in retrieved directory result.</x:v>
      </x:c>
      <x:c r="N109" s="17" t="b">
        <x:v>1</x:v>
      </x:c>
      <x:c r="O109" s="14" t="str">
        <x:v>Fallback / no narrower category in retrieved source</x:v>
      </x:c>
      <x:c r="P109" s="14" t="str">
        <x:v>Local/state directory coverage</x:v>
      </x:c>
    </x:row>
  </x:sheetData>
  <x:dataValidations count="1">
    <x:dataValidation type="list" sqref="G2:G109">
      <x:formula1>'Reference'!$A$2:$A$18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9c7cc4432242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2" hidden="0" customWidth="1"/>
    <x:col min="4" max="4" width="13" hidden="0" customWidth="1"/>
    <x:col min="5" max="5" width="20" hidden="0" customWidth="1"/>
    <x:col min="6" max="6" width="33" hidden="0" customWidth="1"/>
    <x:col min="7" max="7" width="18" hidden="0" customWidth="1"/>
  </x:cols>
  <x:sheetData>
    <x:row r="1" ht="30" customHeight="1">
      <x:c r="A1" s="8" t="str">
        <x:v>State / UT</x:v>
      </x:c>
      <x:c r="B1" s="8" t="str">
        <x:v>Type</x:v>
      </x:c>
      <x:c r="C1" s="8" t="str">
        <x:v>Target Rows</x:v>
      </x:c>
      <x:c r="D1" s="8" t="str">
        <x:v>Rows Found</x:v>
      </x:c>
      <x:c r="E1" s="8" t="str">
        <x:v>Public Contact Rows</x:v>
      </x:c>
      <x:c r="F1" s="8" t="str">
        <x:v>Explicit / Mapped Specialization Rows</x:v>
      </x:c>
      <x:c r="G1" s="8" t="str">
        <x:v>Needs Enrichment</x:v>
      </x:c>
    </x:row>
    <x:row r="2" ht="28" customHeight="1">
      <x:c r="A2" s="14" t="str">
        <x:v>Andhra Pradesh</x:v>
      </x:c>
      <x:c r="B2" s="14" t="str">
        <x:v>State</x:v>
      </x:c>
      <x:c r="C2" s="14" t="n">
        <x:v>3</x:v>
      </x:c>
      <x:c r="D2" s="14" t="n">
        <x:f>COUNTIF('Seed Lawyers'!$B$2:$B$109,A2)</x:f>
        <x:v>3</x:v>
      </x:c>
      <x:c r="E2" s="14" t="n">
        <x:f>COUNTIFS('Seed Lawyers'!$B$2:$B$109,A2,'Seed Lawyers'!$N$2:$N$109,TRUE)</x:f>
        <x:v>0</x:v>
      </x:c>
      <x:c r="F2" s="14" t="n">
        <x:f>COUNTIFS('Seed Lawyers'!$B$2:$B$109,A2,'Seed Lawyers'!$O$2:$O$109,"Explicit / mapped specialization")</x:f>
        <x:v>3</x:v>
      </x:c>
      <x:c r="G2" s="14" t="str">
        <x:f>IF(D2&lt;3,"ENRICH","OK")</x:f>
        <x:v>OK</x:v>
      </x:c>
    </x:row>
    <x:row r="3" ht="28" customHeight="1">
      <x:c r="A3" s="14" t="str">
        <x:v>Arunachal Pradesh</x:v>
      </x:c>
      <x:c r="B3" s="14" t="str">
        <x:v>State</x:v>
      </x:c>
      <x:c r="C3" s="14" t="n">
        <x:v>3</x:v>
      </x:c>
      <x:c r="D3" s="14" t="n">
        <x:f>COUNTIF('Seed Lawyers'!$B$2:$B$109,A3)</x:f>
        <x:v>3</x:v>
      </x:c>
      <x:c r="E3" s="14" t="n">
        <x:f>COUNTIFS('Seed Lawyers'!$B$2:$B$109,A3,'Seed Lawyers'!$N$2:$N$109,TRUE)</x:f>
        <x:v>0</x:v>
      </x:c>
      <x:c r="F3" s="14" t="n">
        <x:f>COUNTIFS('Seed Lawyers'!$B$2:$B$109,A3,'Seed Lawyers'!$O$2:$O$109,"Explicit / mapped specialization")</x:f>
        <x:v>0</x:v>
      </x:c>
      <x:c r="G3" s="14" t="str">
        <x:f>IF(D3&lt;3,"ENRICH","OK")</x:f>
        <x:v>OK</x:v>
      </x:c>
    </x:row>
    <x:row r="4" ht="28" customHeight="1">
      <x:c r="A4" s="14" t="str">
        <x:v>Assam</x:v>
      </x:c>
      <x:c r="B4" s="14" t="str">
        <x:v>State</x:v>
      </x:c>
      <x:c r="C4" s="14" t="n">
        <x:v>3</x:v>
      </x:c>
      <x:c r="D4" s="14" t="n">
        <x:f>COUNTIF('Seed Lawyers'!$B$2:$B$109,A4)</x:f>
        <x:v>3</x:v>
      </x:c>
      <x:c r="E4" s="14" t="n">
        <x:f>COUNTIFS('Seed Lawyers'!$B$2:$B$109,A4,'Seed Lawyers'!$N$2:$N$109,TRUE)</x:f>
        <x:v>0</x:v>
      </x:c>
      <x:c r="F4" s="14" t="n">
        <x:f>COUNTIFS('Seed Lawyers'!$B$2:$B$109,A4,'Seed Lawyers'!$O$2:$O$109,"Explicit / mapped specialization")</x:f>
        <x:v>3</x:v>
      </x:c>
      <x:c r="G4" s="14" t="str">
        <x:f>IF(D4&lt;3,"ENRICH","OK")</x:f>
        <x:v>OK</x:v>
      </x:c>
    </x:row>
    <x:row r="5" ht="28" customHeight="1">
      <x:c r="A5" s="14" t="str">
        <x:v>Bihar</x:v>
      </x:c>
      <x:c r="B5" s="14" t="str">
        <x:v>State</x:v>
      </x:c>
      <x:c r="C5" s="14" t="n">
        <x:v>3</x:v>
      </x:c>
      <x:c r="D5" s="14" t="n">
        <x:f>COUNTIF('Seed Lawyers'!$B$2:$B$109,A5)</x:f>
        <x:v>3</x:v>
      </x:c>
      <x:c r="E5" s="14" t="n">
        <x:f>COUNTIFS('Seed Lawyers'!$B$2:$B$109,A5,'Seed Lawyers'!$N$2:$N$109,TRUE)</x:f>
        <x:v>0</x:v>
      </x:c>
      <x:c r="F5" s="14" t="n">
        <x:f>COUNTIFS('Seed Lawyers'!$B$2:$B$109,A5,'Seed Lawyers'!$O$2:$O$109,"Explicit / mapped specialization")</x:f>
        <x:v>3</x:v>
      </x:c>
      <x:c r="G5" s="14" t="str">
        <x:f>IF(D5&lt;3,"ENRICH","OK")</x:f>
        <x:v>OK</x:v>
      </x:c>
    </x:row>
    <x:row r="6" ht="28" customHeight="1">
      <x:c r="A6" s="14" t="str">
        <x:v>Chhattisgarh</x:v>
      </x:c>
      <x:c r="B6" s="14" t="str">
        <x:v>State</x:v>
      </x:c>
      <x:c r="C6" s="14" t="n">
        <x:v>3</x:v>
      </x:c>
      <x:c r="D6" s="14" t="n">
        <x:f>COUNTIF('Seed Lawyers'!$B$2:$B$109,A6)</x:f>
        <x:v>3</x:v>
      </x:c>
      <x:c r="E6" s="14" t="n">
        <x:f>COUNTIFS('Seed Lawyers'!$B$2:$B$109,A6,'Seed Lawyers'!$N$2:$N$109,TRUE)</x:f>
        <x:v>0</x:v>
      </x:c>
      <x:c r="F6" s="14" t="n">
        <x:f>COUNTIFS('Seed Lawyers'!$B$2:$B$109,A6,'Seed Lawyers'!$O$2:$O$109,"Explicit / mapped specialization")</x:f>
        <x:v>3</x:v>
      </x:c>
      <x:c r="G6" s="14" t="str">
        <x:f>IF(D6&lt;3,"ENRICH","OK")</x:f>
        <x:v>OK</x:v>
      </x:c>
    </x:row>
    <x:row r="7" ht="28" customHeight="1">
      <x:c r="A7" s="14" t="str">
        <x:v>Goa</x:v>
      </x:c>
      <x:c r="B7" s="14" t="str">
        <x:v>State</x:v>
      </x:c>
      <x:c r="C7" s="14" t="n">
        <x:v>3</x:v>
      </x:c>
      <x:c r="D7" s="14" t="n">
        <x:f>COUNTIF('Seed Lawyers'!$B$2:$B$109,A7)</x:f>
        <x:v>3</x:v>
      </x:c>
      <x:c r="E7" s="14" t="n">
        <x:f>COUNTIFS('Seed Lawyers'!$B$2:$B$109,A7,'Seed Lawyers'!$N$2:$N$109,TRUE)</x:f>
        <x:v>0</x:v>
      </x:c>
      <x:c r="F7" s="14" t="n">
        <x:f>COUNTIFS('Seed Lawyers'!$B$2:$B$109,A7,'Seed Lawyers'!$O$2:$O$109,"Explicit / mapped specialization")</x:f>
        <x:v>1</x:v>
      </x:c>
      <x:c r="G7" s="14" t="str">
        <x:f>IF(D7&lt;3,"ENRICH","OK")</x:f>
        <x:v>OK</x:v>
      </x:c>
    </x:row>
    <x:row r="8" ht="28" customHeight="1">
      <x:c r="A8" s="14" t="str">
        <x:v>Gujarat</x:v>
      </x:c>
      <x:c r="B8" s="14" t="str">
        <x:v>State</x:v>
      </x:c>
      <x:c r="C8" s="14" t="n">
        <x:v>3</x:v>
      </x:c>
      <x:c r="D8" s="14" t="n">
        <x:f>COUNTIF('Seed Lawyers'!$B$2:$B$109,A8)</x:f>
        <x:v>3</x:v>
      </x:c>
      <x:c r="E8" s="14" t="n">
        <x:f>COUNTIFS('Seed Lawyers'!$B$2:$B$109,A8,'Seed Lawyers'!$N$2:$N$109,TRUE)</x:f>
        <x:v>0</x:v>
      </x:c>
      <x:c r="F8" s="14" t="n">
        <x:f>COUNTIFS('Seed Lawyers'!$B$2:$B$109,A8,'Seed Lawyers'!$O$2:$O$109,"Explicit / mapped specialization")</x:f>
        <x:v>1</x:v>
      </x:c>
      <x:c r="G8" s="14" t="str">
        <x:f>IF(D8&lt;3,"ENRICH","OK")</x:f>
        <x:v>OK</x:v>
      </x:c>
    </x:row>
    <x:row r="9" ht="28" customHeight="1">
      <x:c r="A9" s="14" t="str">
        <x:v>Haryana</x:v>
      </x:c>
      <x:c r="B9" s="14" t="str">
        <x:v>State</x:v>
      </x:c>
      <x:c r="C9" s="14" t="n">
        <x:v>3</x:v>
      </x:c>
      <x:c r="D9" s="14" t="n">
        <x:f>COUNTIF('Seed Lawyers'!$B$2:$B$109,A9)</x:f>
        <x:v>3</x:v>
      </x:c>
      <x:c r="E9" s="14" t="n">
        <x:f>COUNTIFS('Seed Lawyers'!$B$2:$B$109,A9,'Seed Lawyers'!$N$2:$N$109,TRUE)</x:f>
        <x:v>0</x:v>
      </x:c>
      <x:c r="F9" s="14" t="n">
        <x:f>COUNTIFS('Seed Lawyers'!$B$2:$B$109,A9,'Seed Lawyers'!$O$2:$O$109,"Explicit / mapped specialization")</x:f>
        <x:v>0</x:v>
      </x:c>
      <x:c r="G9" s="14" t="str">
        <x:f>IF(D9&lt;3,"ENRICH","OK")</x:f>
        <x:v>OK</x:v>
      </x:c>
    </x:row>
    <x:row r="10" ht="28" customHeight="1">
      <x:c r="A10" s="14" t="str">
        <x:v>Himachal Pradesh</x:v>
      </x:c>
      <x:c r="B10" s="14" t="str">
        <x:v>State</x:v>
      </x:c>
      <x:c r="C10" s="14" t="n">
        <x:v>3</x:v>
      </x:c>
      <x:c r="D10" s="14" t="n">
        <x:f>COUNTIF('Seed Lawyers'!$B$2:$B$109,A10)</x:f>
        <x:v>3</x:v>
      </x:c>
      <x:c r="E10" s="14" t="n">
        <x:f>COUNTIFS('Seed Lawyers'!$B$2:$B$109,A10,'Seed Lawyers'!$N$2:$N$109,TRUE)</x:f>
        <x:v>0</x:v>
      </x:c>
      <x:c r="F10" s="14" t="n">
        <x:f>COUNTIFS('Seed Lawyers'!$B$2:$B$109,A10,'Seed Lawyers'!$O$2:$O$109,"Explicit / mapped specialization")</x:f>
        <x:v>1</x:v>
      </x:c>
      <x:c r="G10" s="14" t="str">
        <x:f>IF(D10&lt;3,"ENRICH","OK")</x:f>
        <x:v>OK</x:v>
      </x:c>
    </x:row>
    <x:row r="11" ht="28" customHeight="1">
      <x:c r="A11" s="14" t="str">
        <x:v>Jharkhand</x:v>
      </x:c>
      <x:c r="B11" s="14" t="str">
        <x:v>State</x:v>
      </x:c>
      <x:c r="C11" s="14" t="n">
        <x:v>3</x:v>
      </x:c>
      <x:c r="D11" s="14" t="n">
        <x:f>COUNTIF('Seed Lawyers'!$B$2:$B$109,A11)</x:f>
        <x:v>3</x:v>
      </x:c>
      <x:c r="E11" s="14" t="n">
        <x:f>COUNTIFS('Seed Lawyers'!$B$2:$B$109,A11,'Seed Lawyers'!$N$2:$N$109,TRUE)</x:f>
        <x:v>0</x:v>
      </x:c>
      <x:c r="F11" s="14" t="n">
        <x:f>COUNTIFS('Seed Lawyers'!$B$2:$B$109,A11,'Seed Lawyers'!$O$2:$O$109,"Explicit / mapped specialization")</x:f>
        <x:v>3</x:v>
      </x:c>
      <x:c r="G11" s="14" t="str">
        <x:f>IF(D11&lt;3,"ENRICH","OK")</x:f>
        <x:v>OK</x:v>
      </x:c>
    </x:row>
    <x:row r="12" ht="28" customHeight="1">
      <x:c r="A12" s="14" t="str">
        <x:v>Karnataka</x:v>
      </x:c>
      <x:c r="B12" s="14" t="str">
        <x:v>State</x:v>
      </x:c>
      <x:c r="C12" s="14" t="n">
        <x:v>3</x:v>
      </x:c>
      <x:c r="D12" s="14" t="n">
        <x:f>COUNTIF('Seed Lawyers'!$B$2:$B$109,A12)</x:f>
        <x:v>3</x:v>
      </x:c>
      <x:c r="E12" s="14" t="n">
        <x:f>COUNTIFS('Seed Lawyers'!$B$2:$B$109,A12,'Seed Lawyers'!$N$2:$N$109,TRUE)</x:f>
        <x:v>0</x:v>
      </x:c>
      <x:c r="F12" s="14" t="n">
        <x:f>COUNTIFS('Seed Lawyers'!$B$2:$B$109,A12,'Seed Lawyers'!$O$2:$O$109,"Explicit / mapped specialization")</x:f>
        <x:v>0</x:v>
      </x:c>
      <x:c r="G12" s="14" t="str">
        <x:f>IF(D12&lt;3,"ENRICH","OK")</x:f>
        <x:v>OK</x:v>
      </x:c>
    </x:row>
    <x:row r="13" ht="28" customHeight="1">
      <x:c r="A13" s="14" t="str">
        <x:v>Kerala</x:v>
      </x:c>
      <x:c r="B13" s="14" t="str">
        <x:v>State</x:v>
      </x:c>
      <x:c r="C13" s="14" t="n">
        <x:v>3</x:v>
      </x:c>
      <x:c r="D13" s="14" t="n">
        <x:f>COUNTIF('Seed Lawyers'!$B$2:$B$109,A13)</x:f>
        <x:v>3</x:v>
      </x:c>
      <x:c r="E13" s="14" t="n">
        <x:f>COUNTIFS('Seed Lawyers'!$B$2:$B$109,A13,'Seed Lawyers'!$N$2:$N$109,TRUE)</x:f>
        <x:v>0</x:v>
      </x:c>
      <x:c r="F13" s="14" t="n">
        <x:f>COUNTIFS('Seed Lawyers'!$B$2:$B$109,A13,'Seed Lawyers'!$O$2:$O$109,"Explicit / mapped specialization")</x:f>
        <x:v>0</x:v>
      </x:c>
      <x:c r="G13" s="14" t="str">
        <x:f>IF(D13&lt;3,"ENRICH","OK")</x:f>
        <x:v>OK</x:v>
      </x:c>
    </x:row>
    <x:row r="14" ht="28" customHeight="1">
      <x:c r="A14" s="14" t="str">
        <x:v>Madhya Pradesh</x:v>
      </x:c>
      <x:c r="B14" s="14" t="str">
        <x:v>State</x:v>
      </x:c>
      <x:c r="C14" s="14" t="n">
        <x:v>3</x:v>
      </x:c>
      <x:c r="D14" s="14" t="n">
        <x:f>COUNTIF('Seed Lawyers'!$B$2:$B$109,A14)</x:f>
        <x:v>3</x:v>
      </x:c>
      <x:c r="E14" s="14" t="n">
        <x:f>COUNTIFS('Seed Lawyers'!$B$2:$B$109,A14,'Seed Lawyers'!$N$2:$N$109,TRUE)</x:f>
        <x:v>0</x:v>
      </x:c>
      <x:c r="F14" s="14" t="n">
        <x:f>COUNTIFS('Seed Lawyers'!$B$2:$B$109,A14,'Seed Lawyers'!$O$2:$O$109,"Explicit / mapped specialization")</x:f>
        <x:v>1</x:v>
      </x:c>
      <x:c r="G14" s="14" t="str">
        <x:f>IF(D14&lt;3,"ENRICH","OK")</x:f>
        <x:v>OK</x:v>
      </x:c>
    </x:row>
    <x:row r="15" ht="28" customHeight="1">
      <x:c r="A15" s="14" t="str">
        <x:v>Maharashtra</x:v>
      </x:c>
      <x:c r="B15" s="14" t="str">
        <x:v>State</x:v>
      </x:c>
      <x:c r="C15" s="14" t="n">
        <x:v>3</x:v>
      </x:c>
      <x:c r="D15" s="14" t="n">
        <x:f>COUNTIF('Seed Lawyers'!$B$2:$B$109,A15)</x:f>
        <x:v>3</x:v>
      </x:c>
      <x:c r="E15" s="14" t="n">
        <x:f>COUNTIFS('Seed Lawyers'!$B$2:$B$109,A15,'Seed Lawyers'!$N$2:$N$109,TRUE)</x:f>
        <x:v>0</x:v>
      </x:c>
      <x:c r="F15" s="14" t="n">
        <x:f>COUNTIFS('Seed Lawyers'!$B$2:$B$109,A15,'Seed Lawyers'!$O$2:$O$109,"Explicit / mapped specialization")</x:f>
        <x:v>0</x:v>
      </x:c>
      <x:c r="G15" s="14" t="str">
        <x:f>IF(D15&lt;3,"ENRICH","OK")</x:f>
        <x:v>OK</x:v>
      </x:c>
    </x:row>
    <x:row r="16" ht="28" customHeight="1">
      <x:c r="A16" s="14" t="str">
        <x:v>Manipur</x:v>
      </x:c>
      <x:c r="B16" s="14" t="str">
        <x:v>State</x:v>
      </x:c>
      <x:c r="C16" s="14" t="n">
        <x:v>3</x:v>
      </x:c>
      <x:c r="D16" s="14" t="n">
        <x:f>COUNTIF('Seed Lawyers'!$B$2:$B$109,A16)</x:f>
        <x:v>3</x:v>
      </x:c>
      <x:c r="E16" s="14" t="n">
        <x:f>COUNTIFS('Seed Lawyers'!$B$2:$B$109,A16,'Seed Lawyers'!$N$2:$N$109,TRUE)</x:f>
        <x:v>0</x:v>
      </x:c>
      <x:c r="F16" s="14" t="n">
        <x:f>COUNTIFS('Seed Lawyers'!$B$2:$B$109,A16,'Seed Lawyers'!$O$2:$O$109,"Explicit / mapped specialization")</x:f>
        <x:v>0</x:v>
      </x:c>
      <x:c r="G16" s="14" t="str">
        <x:f>IF(D16&lt;3,"ENRICH","OK")</x:f>
        <x:v>OK</x:v>
      </x:c>
    </x:row>
    <x:row r="17" ht="28" customHeight="1">
      <x:c r="A17" s="14" t="str">
        <x:v>Meghalaya</x:v>
      </x:c>
      <x:c r="B17" s="14" t="str">
        <x:v>State</x:v>
      </x:c>
      <x:c r="C17" s="14" t="n">
        <x:v>3</x:v>
      </x:c>
      <x:c r="D17" s="14" t="n">
        <x:f>COUNTIF('Seed Lawyers'!$B$2:$B$109,A17)</x:f>
        <x:v>3</x:v>
      </x:c>
      <x:c r="E17" s="14" t="n">
        <x:f>COUNTIFS('Seed Lawyers'!$B$2:$B$109,A17,'Seed Lawyers'!$N$2:$N$109,TRUE)</x:f>
        <x:v>0</x:v>
      </x:c>
      <x:c r="F17" s="14" t="n">
        <x:f>COUNTIFS('Seed Lawyers'!$B$2:$B$109,A17,'Seed Lawyers'!$O$2:$O$109,"Explicit / mapped specialization")</x:f>
        <x:v>3</x:v>
      </x:c>
      <x:c r="G17" s="14" t="str">
        <x:f>IF(D17&lt;3,"ENRICH","OK")</x:f>
        <x:v>OK</x:v>
      </x:c>
    </x:row>
    <x:row r="18" ht="28" customHeight="1">
      <x:c r="A18" s="14" t="str">
        <x:v>Mizoram</x:v>
      </x:c>
      <x:c r="B18" s="14" t="str">
        <x:v>State</x:v>
      </x:c>
      <x:c r="C18" s="14" t="n">
        <x:v>3</x:v>
      </x:c>
      <x:c r="D18" s="14" t="n">
        <x:f>COUNTIF('Seed Lawyers'!$B$2:$B$109,A18)</x:f>
        <x:v>3</x:v>
      </x:c>
      <x:c r="E18" s="14" t="n">
        <x:f>COUNTIFS('Seed Lawyers'!$B$2:$B$109,A18,'Seed Lawyers'!$N$2:$N$109,TRUE)</x:f>
        <x:v>0</x:v>
      </x:c>
      <x:c r="F18" s="14" t="n">
        <x:f>COUNTIFS('Seed Lawyers'!$B$2:$B$109,A18,'Seed Lawyers'!$O$2:$O$109,"Explicit / mapped specialization")</x:f>
        <x:v>3</x:v>
      </x:c>
      <x:c r="G18" s="14" t="str">
        <x:f>IF(D18&lt;3,"ENRICH","OK")</x:f>
        <x:v>OK</x:v>
      </x:c>
    </x:row>
    <x:row r="19" ht="28" customHeight="1">
      <x:c r="A19" s="14" t="str">
        <x:v>Nagaland</x:v>
      </x:c>
      <x:c r="B19" s="14" t="str">
        <x:v>State</x:v>
      </x:c>
      <x:c r="C19" s="14" t="n">
        <x:v>3</x:v>
      </x:c>
      <x:c r="D19" s="14" t="n">
        <x:f>COUNTIF('Seed Lawyers'!$B$2:$B$109,A19)</x:f>
        <x:v>3</x:v>
      </x:c>
      <x:c r="E19" s="14" t="n">
        <x:f>COUNTIFS('Seed Lawyers'!$B$2:$B$109,A19,'Seed Lawyers'!$N$2:$N$109,TRUE)</x:f>
        <x:v>0</x:v>
      </x:c>
      <x:c r="F19" s="14" t="n">
        <x:f>COUNTIFS('Seed Lawyers'!$B$2:$B$109,A19,'Seed Lawyers'!$O$2:$O$109,"Explicit / mapped specialization")</x:f>
        <x:v>3</x:v>
      </x:c>
      <x:c r="G19" s="14" t="str">
        <x:f>IF(D19&lt;3,"ENRICH","OK")</x:f>
        <x:v>OK</x:v>
      </x:c>
    </x:row>
    <x:row r="20" ht="28" customHeight="1">
      <x:c r="A20" s="14" t="str">
        <x:v>Odisha</x:v>
      </x:c>
      <x:c r="B20" s="14" t="str">
        <x:v>State</x:v>
      </x:c>
      <x:c r="C20" s="14" t="n">
        <x:v>3</x:v>
      </x:c>
      <x:c r="D20" s="14" t="n">
        <x:f>COUNTIF('Seed Lawyers'!$B$2:$B$109,A20)</x:f>
        <x:v>3</x:v>
      </x:c>
      <x:c r="E20" s="14" t="n">
        <x:f>COUNTIFS('Seed Lawyers'!$B$2:$B$109,A20,'Seed Lawyers'!$N$2:$N$109,TRUE)</x:f>
        <x:v>0</x:v>
      </x:c>
      <x:c r="F20" s="14" t="n">
        <x:f>COUNTIFS('Seed Lawyers'!$B$2:$B$109,A20,'Seed Lawyers'!$O$2:$O$109,"Explicit / mapped specialization")</x:f>
        <x:v>0</x:v>
      </x:c>
      <x:c r="G20" s="14" t="str">
        <x:f>IF(D20&lt;3,"ENRICH","OK")</x:f>
        <x:v>OK</x:v>
      </x:c>
    </x:row>
    <x:row r="21" ht="28" customHeight="1">
      <x:c r="A21" s="14" t="str">
        <x:v>Punjab</x:v>
      </x:c>
      <x:c r="B21" s="14" t="str">
        <x:v>State</x:v>
      </x:c>
      <x:c r="C21" s="14" t="n">
        <x:v>3</x:v>
      </x:c>
      <x:c r="D21" s="14" t="n">
        <x:f>COUNTIF('Seed Lawyers'!$B$2:$B$109,A21)</x:f>
        <x:v>3</x:v>
      </x:c>
      <x:c r="E21" s="14" t="n">
        <x:f>COUNTIFS('Seed Lawyers'!$B$2:$B$109,A21,'Seed Lawyers'!$N$2:$N$109,TRUE)</x:f>
        <x:v>0</x:v>
      </x:c>
      <x:c r="F21" s="14" t="n">
        <x:f>COUNTIFS('Seed Lawyers'!$B$2:$B$109,A21,'Seed Lawyers'!$O$2:$O$109,"Explicit / mapped specialization")</x:f>
        <x:v>0</x:v>
      </x:c>
      <x:c r="G21" s="14" t="str">
        <x:f>IF(D21&lt;3,"ENRICH","OK")</x:f>
        <x:v>OK</x:v>
      </x:c>
    </x:row>
    <x:row r="22" ht="28" customHeight="1">
      <x:c r="A22" s="14" t="str">
        <x:v>Rajasthan</x:v>
      </x:c>
      <x:c r="B22" s="14" t="str">
        <x:v>State</x:v>
      </x:c>
      <x:c r="C22" s="14" t="n">
        <x:v>3</x:v>
      </x:c>
      <x:c r="D22" s="14" t="n">
        <x:f>COUNTIF('Seed Lawyers'!$B$2:$B$109,A22)</x:f>
        <x:v>3</x:v>
      </x:c>
      <x:c r="E22" s="14" t="n">
        <x:f>COUNTIFS('Seed Lawyers'!$B$2:$B$109,A22,'Seed Lawyers'!$N$2:$N$109,TRUE)</x:f>
        <x:v>0</x:v>
      </x:c>
      <x:c r="F22" s="14" t="n">
        <x:f>COUNTIFS('Seed Lawyers'!$B$2:$B$109,A22,'Seed Lawyers'!$O$2:$O$109,"Explicit / mapped specialization")</x:f>
        <x:v>0</x:v>
      </x:c>
      <x:c r="G22" s="14" t="str">
        <x:f>IF(D22&lt;3,"ENRICH","OK")</x:f>
        <x:v>OK</x:v>
      </x:c>
    </x:row>
    <x:row r="23" ht="28" customHeight="1">
      <x:c r="A23" s="14" t="str">
        <x:v>Sikkim</x:v>
      </x:c>
      <x:c r="B23" s="14" t="str">
        <x:v>State</x:v>
      </x:c>
      <x:c r="C23" s="14" t="n">
        <x:v>3</x:v>
      </x:c>
      <x:c r="D23" s="14" t="n">
        <x:f>COUNTIF('Seed Lawyers'!$B$2:$B$109,A23)</x:f>
        <x:v>3</x:v>
      </x:c>
      <x:c r="E23" s="14" t="n">
        <x:f>COUNTIFS('Seed Lawyers'!$B$2:$B$109,A23,'Seed Lawyers'!$N$2:$N$109,TRUE)</x:f>
        <x:v>0</x:v>
      </x:c>
      <x:c r="F23" s="14" t="n">
        <x:f>COUNTIFS('Seed Lawyers'!$B$2:$B$109,A23,'Seed Lawyers'!$O$2:$O$109,"Explicit / mapped specialization")</x:f>
        <x:v>3</x:v>
      </x:c>
      <x:c r="G23" s="14" t="str">
        <x:f>IF(D23&lt;3,"ENRICH","OK")</x:f>
        <x:v>OK</x:v>
      </x:c>
    </x:row>
    <x:row r="24" ht="28" customHeight="1">
      <x:c r="A24" s="14" t="str">
        <x:v>Tamil Nadu</x:v>
      </x:c>
      <x:c r="B24" s="14" t="str">
        <x:v>State</x:v>
      </x:c>
      <x:c r="C24" s="14" t="n">
        <x:v>3</x:v>
      </x:c>
      <x:c r="D24" s="14" t="n">
        <x:f>COUNTIF('Seed Lawyers'!$B$2:$B$109,A24)</x:f>
        <x:v>3</x:v>
      </x:c>
      <x:c r="E24" s="14" t="n">
        <x:f>COUNTIFS('Seed Lawyers'!$B$2:$B$109,A24,'Seed Lawyers'!$N$2:$N$109,TRUE)</x:f>
        <x:v>0</x:v>
      </x:c>
      <x:c r="F24" s="14" t="n">
        <x:f>COUNTIFS('Seed Lawyers'!$B$2:$B$109,A24,'Seed Lawyers'!$O$2:$O$109,"Explicit / mapped specialization")</x:f>
        <x:v>0</x:v>
      </x:c>
      <x:c r="G24" s="14" t="str">
        <x:f>IF(D24&lt;3,"ENRICH","OK")</x:f>
        <x:v>OK</x:v>
      </x:c>
    </x:row>
    <x:row r="25" ht="28" customHeight="1">
      <x:c r="A25" s="14" t="str">
        <x:v>Telangana</x:v>
      </x:c>
      <x:c r="B25" s="14" t="str">
        <x:v>State</x:v>
      </x:c>
      <x:c r="C25" s="14" t="n">
        <x:v>3</x:v>
      </x:c>
      <x:c r="D25" s="14" t="n">
        <x:f>COUNTIF('Seed Lawyers'!$B$2:$B$109,A25)</x:f>
        <x:v>3</x:v>
      </x:c>
      <x:c r="E25" s="14" t="n">
        <x:f>COUNTIFS('Seed Lawyers'!$B$2:$B$109,A25,'Seed Lawyers'!$N$2:$N$109,TRUE)</x:f>
        <x:v>0</x:v>
      </x:c>
      <x:c r="F25" s="14" t="n">
        <x:f>COUNTIFS('Seed Lawyers'!$B$2:$B$109,A25,'Seed Lawyers'!$O$2:$O$109,"Explicit / mapped specialization")</x:f>
        <x:v>0</x:v>
      </x:c>
      <x:c r="G25" s="14" t="str">
        <x:f>IF(D25&lt;3,"ENRICH","OK")</x:f>
        <x:v>OK</x:v>
      </x:c>
    </x:row>
    <x:row r="26" ht="28" customHeight="1">
      <x:c r="A26" s="14" t="str">
        <x:v>Tripura</x:v>
      </x:c>
      <x:c r="B26" s="14" t="str">
        <x:v>State</x:v>
      </x:c>
      <x:c r="C26" s="14" t="n">
        <x:v>3</x:v>
      </x:c>
      <x:c r="D26" s="14" t="n">
        <x:f>COUNTIF('Seed Lawyers'!$B$2:$B$109,A26)</x:f>
        <x:v>3</x:v>
      </x:c>
      <x:c r="E26" s="14" t="n">
        <x:f>COUNTIFS('Seed Lawyers'!$B$2:$B$109,A26,'Seed Lawyers'!$N$2:$N$109,TRUE)</x:f>
        <x:v>0</x:v>
      </x:c>
      <x:c r="F26" s="14" t="n">
        <x:f>COUNTIFS('Seed Lawyers'!$B$2:$B$109,A26,'Seed Lawyers'!$O$2:$O$109,"Explicit / mapped specialization")</x:f>
        <x:v>0</x:v>
      </x:c>
      <x:c r="G26" s="14" t="str">
        <x:f>IF(D26&lt;3,"ENRICH","OK")</x:f>
        <x:v>OK</x:v>
      </x:c>
    </x:row>
    <x:row r="27" ht="28" customHeight="1">
      <x:c r="A27" s="14" t="str">
        <x:v>Uttar Pradesh</x:v>
      </x:c>
      <x:c r="B27" s="14" t="str">
        <x:v>State</x:v>
      </x:c>
      <x:c r="C27" s="14" t="n">
        <x:v>3</x:v>
      </x:c>
      <x:c r="D27" s="14" t="n">
        <x:f>COUNTIF('Seed Lawyers'!$B$2:$B$109,A27)</x:f>
        <x:v>3</x:v>
      </x:c>
      <x:c r="E27" s="14" t="n">
        <x:f>COUNTIFS('Seed Lawyers'!$B$2:$B$109,A27,'Seed Lawyers'!$N$2:$N$109,TRUE)</x:f>
        <x:v>0</x:v>
      </x:c>
      <x:c r="F27" s="14" t="n">
        <x:f>COUNTIFS('Seed Lawyers'!$B$2:$B$109,A27,'Seed Lawyers'!$O$2:$O$109,"Explicit / mapped specialization")</x:f>
        <x:v>0</x:v>
      </x:c>
      <x:c r="G27" s="14" t="str">
        <x:f>IF(D27&lt;3,"ENRICH","OK")</x:f>
        <x:v>OK</x:v>
      </x:c>
    </x:row>
    <x:row r="28" ht="28" customHeight="1">
      <x:c r="A28" s="14" t="str">
        <x:v>Uttarakhand</x:v>
      </x:c>
      <x:c r="B28" s="14" t="str">
        <x:v>State</x:v>
      </x:c>
      <x:c r="C28" s="14" t="n">
        <x:v>3</x:v>
      </x:c>
      <x:c r="D28" s="14" t="n">
        <x:f>COUNTIF('Seed Lawyers'!$B$2:$B$109,A28)</x:f>
        <x:v>3</x:v>
      </x:c>
      <x:c r="E28" s="14" t="n">
        <x:f>COUNTIFS('Seed Lawyers'!$B$2:$B$109,A28,'Seed Lawyers'!$N$2:$N$109,TRUE)</x:f>
        <x:v>0</x:v>
      </x:c>
      <x:c r="F28" s="14" t="n">
        <x:f>COUNTIFS('Seed Lawyers'!$B$2:$B$109,A28,'Seed Lawyers'!$O$2:$O$109,"Explicit / mapped specialization")</x:f>
        <x:v>2</x:v>
      </x:c>
      <x:c r="G28" s="14" t="str">
        <x:f>IF(D28&lt;3,"ENRICH","OK")</x:f>
        <x:v>OK</x:v>
      </x:c>
    </x:row>
    <x:row r="29" ht="28" customHeight="1">
      <x:c r="A29" s="14" t="str">
        <x:v>West Bengal</x:v>
      </x:c>
      <x:c r="B29" s="14" t="str">
        <x:v>State</x:v>
      </x:c>
      <x:c r="C29" s="14" t="n">
        <x:v>3</x:v>
      </x:c>
      <x:c r="D29" s="14" t="n">
        <x:f>COUNTIF('Seed Lawyers'!$B$2:$B$109,A29)</x:f>
        <x:v>3</x:v>
      </x:c>
      <x:c r="E29" s="14" t="n">
        <x:f>COUNTIFS('Seed Lawyers'!$B$2:$B$109,A29,'Seed Lawyers'!$N$2:$N$109,TRUE)</x:f>
        <x:v>0</x:v>
      </x:c>
      <x:c r="F29" s="14" t="n">
        <x:f>COUNTIFS('Seed Lawyers'!$B$2:$B$109,A29,'Seed Lawyers'!$O$2:$O$109,"Explicit / mapped specialization")</x:f>
        <x:v>0</x:v>
      </x:c>
      <x:c r="G29" s="14" t="str">
        <x:f>IF(D29&lt;3,"ENRICH","OK")</x:f>
        <x:v>OK</x:v>
      </x:c>
    </x:row>
    <x:row r="30" ht="28" customHeight="1">
      <x:c r="A30" s="14" t="str">
        <x:v>Andaman and Nicobar Islands</x:v>
      </x:c>
      <x:c r="B30" s="14" t="str">
        <x:v>Union Territory</x:v>
      </x:c>
      <x:c r="C30" s="14" t="n">
        <x:v>3</x:v>
      </x:c>
      <x:c r="D30" s="14" t="n">
        <x:f>COUNTIF('Seed Lawyers'!$B$2:$B$109,A30)</x:f>
        <x:v>3</x:v>
      </x:c>
      <x:c r="E30" s="14" t="n">
        <x:f>COUNTIFS('Seed Lawyers'!$B$2:$B$109,A30,'Seed Lawyers'!$N$2:$N$109,TRUE)</x:f>
        <x:v>0</x:v>
      </x:c>
      <x:c r="F30" s="14" t="n">
        <x:f>COUNTIFS('Seed Lawyers'!$B$2:$B$109,A30,'Seed Lawyers'!$O$2:$O$109,"Explicit / mapped specialization")</x:f>
        <x:v>0</x:v>
      </x:c>
      <x:c r="G30" s="14" t="str">
        <x:f>IF(D30&lt;3,"ENRICH","OK")</x:f>
        <x:v>OK</x:v>
      </x:c>
    </x:row>
    <x:row r="31" ht="28" customHeight="1">
      <x:c r="A31" s="14" t="str">
        <x:v>Chandigarh</x:v>
      </x:c>
      <x:c r="B31" s="14" t="str">
        <x:v>Union Territory</x:v>
      </x:c>
      <x:c r="C31" s="14" t="n">
        <x:v>3</x:v>
      </x:c>
      <x:c r="D31" s="14" t="n">
        <x:f>COUNTIF('Seed Lawyers'!$B$2:$B$109,A31)</x:f>
        <x:v>3</x:v>
      </x:c>
      <x:c r="E31" s="14" t="n">
        <x:f>COUNTIFS('Seed Lawyers'!$B$2:$B$109,A31,'Seed Lawyers'!$N$2:$N$109,TRUE)</x:f>
        <x:v>0</x:v>
      </x:c>
      <x:c r="F31" s="14" t="n">
        <x:f>COUNTIFS('Seed Lawyers'!$B$2:$B$109,A31,'Seed Lawyers'!$O$2:$O$109,"Explicit / mapped specialization")</x:f>
        <x:v>0</x:v>
      </x:c>
      <x:c r="G31" s="14" t="str">
        <x:f>IF(D31&lt;3,"ENRICH","OK")</x:f>
        <x:v>OK</x:v>
      </x:c>
    </x:row>
    <x:row r="32" ht="28" customHeight="1">
      <x:c r="A32" s="14" t="str">
        <x:v>Dadra and Nagar Haveli and Daman and Diu</x:v>
      </x:c>
      <x:c r="B32" s="14" t="str">
        <x:v>Union Territory</x:v>
      </x:c>
      <x:c r="C32" s="14" t="n">
        <x:v>3</x:v>
      </x:c>
      <x:c r="D32" s="14" t="n">
        <x:f>COUNTIF('Seed Lawyers'!$B$2:$B$109,A32)</x:f>
        <x:v>3</x:v>
      </x:c>
      <x:c r="E32" s="14" t="n">
        <x:f>COUNTIFS('Seed Lawyers'!$B$2:$B$109,A32,'Seed Lawyers'!$N$2:$N$109,TRUE)</x:f>
        <x:v>0</x:v>
      </x:c>
      <x:c r="F32" s="14" t="n">
        <x:f>COUNTIFS('Seed Lawyers'!$B$2:$B$109,A32,'Seed Lawyers'!$O$2:$O$109,"Explicit / mapped specialization")</x:f>
        <x:v>0</x:v>
      </x:c>
      <x:c r="G32" s="14" t="str">
        <x:f>IF(D32&lt;3,"ENRICH","OK")</x:f>
        <x:v>OK</x:v>
      </x:c>
    </x:row>
    <x:row r="33" ht="28" customHeight="1">
      <x:c r="A33" s="14" t="str">
        <x:v>Delhi</x:v>
      </x:c>
      <x:c r="B33" s="14" t="str">
        <x:v>Union Territory</x:v>
      </x:c>
      <x:c r="C33" s="14" t="n">
        <x:v>3</x:v>
      </x:c>
      <x:c r="D33" s="14" t="n">
        <x:f>COUNTIF('Seed Lawyers'!$B$2:$B$109,A33)</x:f>
        <x:v>3</x:v>
      </x:c>
      <x:c r="E33" s="14" t="n">
        <x:f>COUNTIFS('Seed Lawyers'!$B$2:$B$109,A33,'Seed Lawyers'!$N$2:$N$109,TRUE)</x:f>
        <x:v>0</x:v>
      </x:c>
      <x:c r="F33" s="14" t="n">
        <x:f>COUNTIFS('Seed Lawyers'!$B$2:$B$109,A33,'Seed Lawyers'!$O$2:$O$109,"Explicit / mapped specialization")</x:f>
        <x:v>0</x:v>
      </x:c>
      <x:c r="G33" s="14" t="str">
        <x:f>IF(D33&lt;3,"ENRICH","OK")</x:f>
        <x:v>OK</x:v>
      </x:c>
    </x:row>
    <x:row r="34" ht="28" customHeight="1">
      <x:c r="A34" s="14" t="str">
        <x:v>Jammu and Kashmir</x:v>
      </x:c>
      <x:c r="B34" s="14" t="str">
        <x:v>Union Territory</x:v>
      </x:c>
      <x:c r="C34" s="14" t="n">
        <x:v>3</x:v>
      </x:c>
      <x:c r="D34" s="14" t="n">
        <x:f>COUNTIF('Seed Lawyers'!$B$2:$B$109,A34)</x:f>
        <x:v>3</x:v>
      </x:c>
      <x:c r="E34" s="14" t="n">
        <x:f>COUNTIFS('Seed Lawyers'!$B$2:$B$109,A34,'Seed Lawyers'!$N$2:$N$109,TRUE)</x:f>
        <x:v>0</x:v>
      </x:c>
      <x:c r="F34" s="14" t="n">
        <x:f>COUNTIFS('Seed Lawyers'!$B$2:$B$109,A34,'Seed Lawyers'!$O$2:$O$109,"Explicit / mapped specialization")</x:f>
        <x:v>0</x:v>
      </x:c>
      <x:c r="G34" s="14" t="str">
        <x:f>IF(D34&lt;3,"ENRICH","OK")</x:f>
        <x:v>OK</x:v>
      </x:c>
    </x:row>
    <x:row r="35" ht="28" customHeight="1">
      <x:c r="A35" s="14" t="str">
        <x:v>Ladakh</x:v>
      </x:c>
      <x:c r="B35" s="14" t="str">
        <x:v>Union Territory</x:v>
      </x:c>
      <x:c r="C35" s="14" t="n">
        <x:v>3</x:v>
      </x:c>
      <x:c r="D35" s="14" t="n">
        <x:f>COUNTIF('Seed Lawyers'!$B$2:$B$109,A35)</x:f>
        <x:v>3</x:v>
      </x:c>
      <x:c r="E35" s="14" t="n">
        <x:f>COUNTIFS('Seed Lawyers'!$B$2:$B$109,A35,'Seed Lawyers'!$N$2:$N$109,TRUE)</x:f>
        <x:v>0</x:v>
      </x:c>
      <x:c r="F35" s="14" t="n">
        <x:f>COUNTIFS('Seed Lawyers'!$B$2:$B$109,A35,'Seed Lawyers'!$O$2:$O$109,"Explicit / mapped specialization")</x:f>
        <x:v>0</x:v>
      </x:c>
      <x:c r="G35" s="14" t="str">
        <x:f>IF(D35&lt;3,"ENRICH","OK")</x:f>
        <x:v>OK</x:v>
      </x:c>
    </x:row>
    <x:row r="36" ht="28" customHeight="1">
      <x:c r="A36" s="14" t="str">
        <x:v>Lakshadweep</x:v>
      </x:c>
      <x:c r="B36" s="14" t="str">
        <x:v>Union Territory</x:v>
      </x:c>
      <x:c r="C36" s="14" t="n">
        <x:v>3</x:v>
      </x:c>
      <x:c r="D36" s="14" t="n">
        <x:f>COUNTIF('Seed Lawyers'!$B$2:$B$109,A36)</x:f>
        <x:v>3</x:v>
      </x:c>
      <x:c r="E36" s="14" t="n">
        <x:f>COUNTIFS('Seed Lawyers'!$B$2:$B$109,A36,'Seed Lawyers'!$N$2:$N$109,TRUE)</x:f>
        <x:v>0</x:v>
      </x:c>
      <x:c r="F36" s="14" t="n">
        <x:f>COUNTIFS('Seed Lawyers'!$B$2:$B$109,A36,'Seed Lawyers'!$O$2:$O$109,"Explicit / mapped specialization")</x:f>
        <x:v>0</x:v>
      </x:c>
      <x:c r="G36" s="14" t="str">
        <x:f>IF(D36&lt;3,"ENRICH","OK")</x:f>
        <x:v>OK</x:v>
      </x:c>
    </x:row>
    <x:row r="37" ht="28" customHeight="1">
      <x:c r="A37" s="14" t="str">
        <x:v>Puducherry</x:v>
      </x:c>
      <x:c r="B37" s="14" t="str">
        <x:v>Union Territory</x:v>
      </x:c>
      <x:c r="C37" s="14" t="n">
        <x:v>3</x:v>
      </x:c>
      <x:c r="D37" s="14" t="n">
        <x:f>COUNTIF('Seed Lawyers'!$B$2:$B$109,A37)</x:f>
        <x:v>3</x:v>
      </x:c>
      <x:c r="E37" s="14" t="n">
        <x:f>COUNTIFS('Seed Lawyers'!$B$2:$B$109,A37,'Seed Lawyers'!$N$2:$N$109,TRUE)</x:f>
        <x:v>0</x:v>
      </x:c>
      <x:c r="F37" s="14" t="n">
        <x:f>COUNTIFS('Seed Lawyers'!$B$2:$B$109,A37,'Seed Lawyers'!$O$2:$O$109,"Explicit / mapped specialization")</x:f>
        <x:v>0</x:v>
      </x:c>
      <x:c r="G37" s="14" t="str">
        <x:f>IF(D37&lt;3,"ENRICH","OK")</x:f>
        <x:v>OK</x:v>
      </x:c>
    </x:row>
  </x:sheetData>
  <x:conditionalFormatting sqref="G2:G37">
    <x:cfRule type="expression" dxfId="0" priority="1">
      <x:formula>G2="ENRICH"</x:formula>
    </x:cfRule>
    <x:cfRule type="expression" dxfId="1" priority="2">
      <x:formula>G2="OK"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431caf3ccb46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>
      <x:c r="A1" s="8" t="str">
        <x:v>Allowed Specialization Category</x:v>
      </x:c>
      <x:c r="B1" s="8" t="str">
        <x:v>How used in seed data</x:v>
      </x:c>
    </x:row>
    <x:row r="2">
      <x:c r="A2" s="14" t="str">
        <x:v>All Specializations</x:v>
      </x:c>
      <x:c r="B2" s="14" t="str">
        <x:v>UI option; not used as a lawyer tag.</x:v>
      </x:c>
    </x:row>
    <x:row r="3">
      <x:c r="A3" s="14" t="str">
        <x:v>Domestic Violence</x:v>
      </x:c>
      <x:c r="B3" s="14" t="str">
        <x:v>Use only when the public source explicitly mentions domestic-violence/family work.</x:v>
      </x:c>
    </x:row>
    <x:row r="4">
      <x:c r="A4" s="14" t="str">
        <x:v>Property Rights</x:v>
      </x:c>
      <x:c r="B4" s="14" t="str">
        <x:v>Mapped from explicit property/RERA/land matters.</x:v>
      </x:c>
    </x:row>
    <x:row r="5">
      <x:c r="A5" s="14" t="str">
        <x:v>Divorce &amp; Family Law</x:v>
      </x:c>
      <x:c r="B5" s="14" t="str">
        <x:v>Mapped from explicit family/divorce/maintenance matters.</x:v>
      </x:c>
    </x:row>
    <x:row r="6">
      <x:c r="A6" s="14" t="str">
        <x:v>Criminal Law</x:v>
      </x:c>
      <x:c r="B6" s="14" t="str">
        <x:v>Mapped from explicit criminal practice.</x:v>
      </x:c>
    </x:row>
    <x:row r="7">
      <x:c r="A7" s="14" t="str">
        <x:v>Employment Law</x:v>
      </x:c>
      <x:c r="B7" s="14" t="str">
        <x:v>Mapped from labour/service/employment matters.</x:v>
      </x:c>
    </x:row>
    <x:row r="8">
      <x:c r="A8" s="14" t="str">
        <x:v>Constitutional Law</x:v>
      </x:c>
      <x:c r="B8" s="14" t="str">
        <x:v>Mapped from explicit constitutional/writ practice or constitutional-law credential.</x:v>
      </x:c>
    </x:row>
    <x:row r="9">
      <x:c r="A9" s="14" t="str">
        <x:v>Human Rights</x:v>
      </x:c>
      <x:c r="B9" s="14" t="str">
        <x:v>Mapped from explicit human-rights credential/practice.</x:v>
      </x:c>
    </x:row>
    <x:row r="10">
      <x:c r="A10" s="14" t="str">
        <x:v>Cyber Law</x:v>
      </x:c>
      <x:c r="B10" s="14" t="str">
        <x:v>Mapped from explicit cyber/cyber-crime practice or cyber credential; noted where credential is the basis.</x:v>
      </x:c>
    </x:row>
    <x:row r="11">
      <x:c r="A11" s="14" t="str">
        <x:v>Consumer Protection</x:v>
      </x:c>
      <x:c r="B11" s="14" t="str">
        <x:v>Mapped from explicit consumer practice.</x:v>
      </x:c>
    </x:row>
    <x:row r="12">
      <x:c r="A12" s="14" t="str">
        <x:v>Immigration Law</x:v>
      </x:c>
      <x:c r="B12" s="14" t="str">
        <x:v>Mapped from explicit immigration work.</x:v>
      </x:c>
    </x:row>
    <x:row r="13">
      <x:c r="A13" s="14" t="str">
        <x:v>Tax Law</x:v>
      </x:c>
      <x:c r="B13" s="14" t="str">
        <x:v>Mapped from explicit tax/GST/customs practice.</x:v>
      </x:c>
    </x:row>
    <x:row r="14">
      <x:c r="A14" s="14" t="str">
        <x:v>Corporate Law</x:v>
      </x:c>
      <x:c r="B14" s="14" t="str">
        <x:v>Mapped from corporate/NCLT/business practice.</x:v>
      </x:c>
    </x:row>
    <x:row r="15">
      <x:c r="A15" s="14" t="str">
        <x:v>Intellectual Property</x:v>
      </x:c>
      <x:c r="B15" s="14" t="str">
        <x:v>Mapped from trademark/copyright/patent/IP practice.</x:v>
      </x:c>
    </x:row>
    <x:row r="16">
      <x:c r="A16" s="14" t="str">
        <x:v>Environmental Law</x:v>
      </x:c>
      <x:c r="B16" s="14" t="str">
        <x:v>No row currently relies on this category.</x:v>
      </x:c>
    </x:row>
    <x:row r="17">
      <x:c r="A17" s="14" t="str">
        <x:v>Labor Law</x:v>
      </x:c>
      <x:c r="B17" s="14" t="str">
        <x:v>Mapped from labour practice where a labour-specific label is appropriate.</x:v>
      </x:c>
    </x:row>
    <x:row r="18">
      <x:c r="A18" s="14" t="str">
        <x:v>General Practice</x:v>
      </x:c>
      <x:c r="B18" s="14" t="str">
        <x:v>Fallback when the public source does not state a narrower app category; not a claim that the lawyer only does general practice.</x:v>
      </x:c>
    </x:row>
    <x:row r="20">
      <x:c r="A20" s="6" t="str">
        <x:v>Research notes</x:v>
      </x:c>
      <x:c r="B20" s="6" t="str"/>
    </x:row>
    <x:row r="21" ht="40" customHeight="1">
      <x:c r="A21" s="26" t="str">
        <x:v>Coverage</x:v>
      </x:c>
      <x:c r="B21" s="14" t="str">
        <x:v>36 Indian jurisdictions = 28 states + 8 Union Territories, aligned to the NALSA panel-lawyer framework.</x:v>
      </x:c>
    </x:row>
    <x:row r="22" ht="40" customHeight="1">
      <x:c r="A22" s="26" t="str">
        <x:v>Contact data</x:v>
      </x:c>
      <x:c r="B22" s="14" t="str">
        <x:v>Only public contact numbers visible in the retrieved source snippets are included. Blank contact cells are deliberate.</x:v>
      </x:c>
    </x:row>
    <x:row r="23" ht="40" customHeight="1">
      <x:c r="A23" s="26" t="str">
        <x:v>Specialization data</x:v>
      </x:c>
      <x:c r="B23" s="14" t="str">
        <x:v>A tag is explicit only where the source text states a practice area or directly indicates a specialization/credential. Otherwise the seed uses General Practice as a fallback.</x:v>
      </x:c>
    </x:row>
    <x:row r="24" ht="40" customHeight="1">
      <x:c r="A24" s="26" t="str">
        <x:v>Cross-enrolment</x:v>
      </x:c>
      <x:c r="B24" s="14" t="str">
        <x:v>For Meghalaya, Mizoram, Nagaland and Sikkim, several rows are based on lawyers whose LawRato profiles state enrolment with those State Bar Councils; their profile location may be outside that jurisdiction.</x:v>
      </x:c>
    </x:row>
    <x:row r="25" ht="40" customHeight="1">
      <x:c r="A25" s="26" t="str">
        <x:v>Production use</x:v>
      </x:c>
      <x:c r="B25" s="14" t="str">
        <x:v>Re-check Bar Council enrolment/current panel status and obtain consent before treating any person as an active lead or displaying contact details publicly.</x:v>
      </x:c>
    </x:row>
  </x:sheetData>
  <x:pageMargins left="0.7" right="0.7" top="0.75" bottom="0.75" header="0.3" footer="0.3"/>
</x:worksheet>
</file>